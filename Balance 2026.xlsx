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8800" windowHeight="12435"/>
  </bookViews>
  <sheets>
    <sheet name="RESUMEN" sheetId="6" r:id="rId1"/>
    <sheet name="DEUDAS, RECAUDADO Y PROYECTADO" sheetId="4" r:id="rId2"/>
    <sheet name="PERSONALES" sheetId="5" state="hidden" r:id="rId3"/>
    <sheet name="GASTOS" sheetId="2" r:id="rId4"/>
    <sheet name="Hoja2" sheetId="8" r:id="rId5"/>
  </sheets>
  <externalReferences>
    <externalReference r:id="rId6"/>
    <externalReference r:id="rId7"/>
    <externalReference r:id="rId8"/>
    <externalReference r:id="rId9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6" l="1"/>
  <c r="C42" i="6"/>
  <c r="AM197" i="4"/>
  <c r="AM194" i="4"/>
  <c r="AM188" i="4"/>
  <c r="AM183" i="4"/>
  <c r="AM174" i="4"/>
  <c r="AM175" i="4"/>
  <c r="AM176" i="4"/>
  <c r="AM177" i="4"/>
  <c r="AM178" i="4"/>
  <c r="AM179" i="4"/>
  <c r="AM180" i="4"/>
  <c r="AM181" i="4"/>
  <c r="AM182" i="4"/>
  <c r="AM184" i="4"/>
  <c r="AM185" i="4"/>
  <c r="AM186" i="4"/>
  <c r="AM187" i="4"/>
  <c r="AM189" i="4"/>
  <c r="AM190" i="4"/>
  <c r="AM191" i="4"/>
  <c r="AM192" i="4"/>
  <c r="AM193" i="4"/>
  <c r="AM195" i="4"/>
  <c r="AM196" i="4"/>
  <c r="AM173" i="4"/>
  <c r="AM170" i="4"/>
  <c r="AM168" i="4"/>
  <c r="AM165" i="4"/>
  <c r="AM162" i="4"/>
  <c r="AM151" i="4"/>
  <c r="AM149" i="4"/>
  <c r="AM145" i="4"/>
  <c r="AM143" i="4"/>
  <c r="AM141" i="4"/>
  <c r="AM139" i="4"/>
  <c r="AM138" i="4"/>
  <c r="AM137" i="4"/>
  <c r="AM140" i="4"/>
  <c r="AM142" i="4"/>
  <c r="AM144" i="4"/>
  <c r="AM146" i="4"/>
  <c r="AM147" i="4"/>
  <c r="AM148" i="4"/>
  <c r="AM150" i="4"/>
  <c r="AM152" i="4"/>
  <c r="AM153" i="4"/>
  <c r="AM154" i="4"/>
  <c r="AM155" i="4"/>
  <c r="AM156" i="4"/>
  <c r="AM157" i="4"/>
  <c r="AM158" i="4"/>
  <c r="AM159" i="4"/>
  <c r="AM160" i="4"/>
  <c r="AM161" i="4"/>
  <c r="AM163" i="4"/>
  <c r="AM164" i="4"/>
  <c r="AM166" i="4"/>
  <c r="AM167" i="4"/>
  <c r="AM169" i="4"/>
  <c r="AM171" i="4"/>
  <c r="AM172" i="4"/>
  <c r="AM136" i="4"/>
  <c r="AM135" i="4"/>
  <c r="AM129" i="4"/>
  <c r="AM124" i="4"/>
  <c r="AM119" i="4"/>
  <c r="AM117" i="4"/>
  <c r="AM116" i="4"/>
  <c r="AM115" i="4"/>
  <c r="AM114" i="4"/>
  <c r="AM110" i="4"/>
  <c r="AM106" i="4"/>
  <c r="AM105" i="4"/>
  <c r="AM102" i="4"/>
  <c r="AM89" i="4"/>
  <c r="AM88" i="4"/>
  <c r="AM87" i="4"/>
  <c r="AM83" i="4"/>
  <c r="AL83" i="4"/>
  <c r="AM78" i="4"/>
  <c r="AM77" i="4"/>
  <c r="AM73" i="4"/>
  <c r="AM62" i="4"/>
  <c r="AM58" i="4"/>
  <c r="AM51" i="4"/>
  <c r="AM49" i="4"/>
  <c r="AM42" i="4"/>
  <c r="AM40" i="4"/>
  <c r="AM34" i="4"/>
  <c r="AM28" i="4"/>
  <c r="AM27" i="4"/>
  <c r="AM24" i="4"/>
  <c r="AM20" i="4"/>
  <c r="AM19" i="4"/>
  <c r="AM15" i="4"/>
  <c r="AM13" i="4"/>
  <c r="AM11" i="4"/>
  <c r="AM9" i="4"/>
  <c r="AM10" i="4"/>
  <c r="AM12" i="4"/>
  <c r="AM14" i="4"/>
  <c r="AM16" i="4"/>
  <c r="AM17" i="4"/>
  <c r="AM18" i="4"/>
  <c r="AM21" i="4"/>
  <c r="AM22" i="4"/>
  <c r="AM23" i="4"/>
  <c r="AM25" i="4"/>
  <c r="AM26" i="4"/>
  <c r="AM29" i="4"/>
  <c r="AM30" i="4"/>
  <c r="AM31" i="4"/>
  <c r="AM32" i="4"/>
  <c r="AM33" i="4"/>
  <c r="AM35" i="4"/>
  <c r="AM36" i="4"/>
  <c r="AM37" i="4"/>
  <c r="AM38" i="4"/>
  <c r="AM39" i="4"/>
  <c r="AM41" i="4"/>
  <c r="AM43" i="4"/>
  <c r="AM44" i="4"/>
  <c r="AM45" i="4"/>
  <c r="AM46" i="4"/>
  <c r="AM47" i="4"/>
  <c r="AM48" i="4"/>
  <c r="AM50" i="4"/>
  <c r="AM52" i="4"/>
  <c r="AM53" i="4"/>
  <c r="AM54" i="4"/>
  <c r="AM55" i="4"/>
  <c r="AM56" i="4"/>
  <c r="AM57" i="4"/>
  <c r="AM59" i="4"/>
  <c r="AM60" i="4"/>
  <c r="AM61" i="4"/>
  <c r="AM63" i="4"/>
  <c r="AM64" i="4"/>
  <c r="AM65" i="4"/>
  <c r="AM66" i="4"/>
  <c r="AM67" i="4"/>
  <c r="AM68" i="4"/>
  <c r="AM69" i="4"/>
  <c r="AM70" i="4"/>
  <c r="AM71" i="4"/>
  <c r="AM72" i="4"/>
  <c r="AM74" i="4"/>
  <c r="AM75" i="4"/>
  <c r="AM76" i="4"/>
  <c r="AM79" i="4"/>
  <c r="AM80" i="4"/>
  <c r="AM81" i="4"/>
  <c r="AM82" i="4"/>
  <c r="AM84" i="4"/>
  <c r="AM85" i="4"/>
  <c r="AM86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3" i="4"/>
  <c r="AM104" i="4"/>
  <c r="AM107" i="4"/>
  <c r="AM108" i="4"/>
  <c r="AM109" i="4"/>
  <c r="AM111" i="4"/>
  <c r="AM112" i="4"/>
  <c r="AM113" i="4"/>
  <c r="AM118" i="4"/>
  <c r="AM120" i="4"/>
  <c r="AM121" i="4"/>
  <c r="AM122" i="4"/>
  <c r="AM123" i="4"/>
  <c r="AM125" i="4"/>
  <c r="AM126" i="4"/>
  <c r="AM127" i="4"/>
  <c r="AM128" i="4"/>
  <c r="AM130" i="4"/>
  <c r="AM131" i="4"/>
  <c r="AM132" i="4"/>
  <c r="AM133" i="4"/>
  <c r="AM134" i="4"/>
  <c r="AM8" i="4"/>
  <c r="AM5" i="4"/>
  <c r="AM6" i="4"/>
  <c r="AM7" i="4"/>
  <c r="AM4" i="4"/>
  <c r="AL4" i="4"/>
  <c r="D197" i="4" l="1"/>
  <c r="D194" i="4"/>
  <c r="D188" i="4"/>
  <c r="D183" i="4"/>
  <c r="D173" i="4"/>
  <c r="D170" i="4"/>
  <c r="D168" i="4"/>
  <c r="D165" i="4"/>
  <c r="D162" i="4"/>
  <c r="D151" i="4"/>
  <c r="D149" i="4"/>
  <c r="D145" i="4"/>
  <c r="D143" i="4"/>
  <c r="D141" i="4"/>
  <c r="D139" i="4"/>
  <c r="D138" i="4"/>
  <c r="D136" i="4"/>
  <c r="D135" i="4"/>
  <c r="D129" i="4"/>
  <c r="D124" i="4"/>
  <c r="D119" i="4"/>
  <c r="D117" i="4"/>
  <c r="D116" i="4"/>
  <c r="D115" i="4"/>
  <c r="D114" i="4"/>
  <c r="D110" i="4"/>
  <c r="D106" i="4"/>
  <c r="D105" i="4"/>
  <c r="D102" i="4"/>
  <c r="D89" i="4"/>
  <c r="D88" i="4"/>
  <c r="D87" i="4"/>
  <c r="D83" i="4"/>
  <c r="D78" i="4"/>
  <c r="D77" i="4"/>
  <c r="D73" i="4"/>
  <c r="D62" i="4"/>
  <c r="D58" i="4"/>
  <c r="D51" i="4"/>
  <c r="D49" i="4"/>
  <c r="D42" i="4"/>
  <c r="D40" i="4"/>
  <c r="D34" i="4"/>
  <c r="D28" i="4"/>
  <c r="D27" i="4"/>
  <c r="D24" i="4"/>
  <c r="D20" i="4"/>
  <c r="D19" i="4"/>
  <c r="D15" i="4"/>
  <c r="D13" i="4"/>
  <c r="D11" i="4"/>
  <c r="D9" i="4"/>
  <c r="D8" i="4"/>
  <c r="D4" i="4"/>
  <c r="E197" i="4"/>
  <c r="E194" i="4"/>
  <c r="E188" i="4"/>
  <c r="E183" i="4"/>
  <c r="E173" i="4"/>
  <c r="E170" i="4"/>
  <c r="E168" i="4"/>
  <c r="E165" i="4"/>
  <c r="E162" i="4"/>
  <c r="E151" i="4"/>
  <c r="E149" i="4"/>
  <c r="E145" i="4"/>
  <c r="E143" i="4"/>
  <c r="E141" i="4"/>
  <c r="E139" i="4"/>
  <c r="E138" i="4"/>
  <c r="E136" i="4"/>
  <c r="E135" i="4"/>
  <c r="E129" i="4"/>
  <c r="E124" i="4"/>
  <c r="E119" i="4"/>
  <c r="E117" i="4"/>
  <c r="E116" i="4"/>
  <c r="E115" i="4"/>
  <c r="E114" i="4"/>
  <c r="E110" i="4"/>
  <c r="E106" i="4"/>
  <c r="E105" i="4"/>
  <c r="E102" i="4"/>
  <c r="E89" i="4"/>
  <c r="E88" i="4"/>
  <c r="E87" i="4"/>
  <c r="E83" i="4"/>
  <c r="E78" i="4"/>
  <c r="E77" i="4"/>
  <c r="E73" i="4"/>
  <c r="E62" i="4"/>
  <c r="E58" i="4"/>
  <c r="E51" i="4"/>
  <c r="E49" i="4"/>
  <c r="E42" i="4"/>
  <c r="E40" i="4"/>
  <c r="E39" i="4"/>
  <c r="E34" i="4"/>
  <c r="E28" i="4"/>
  <c r="E24" i="4"/>
  <c r="E20" i="4"/>
  <c r="E19" i="4"/>
  <c r="E15" i="4"/>
  <c r="E11" i="4"/>
  <c r="E8" i="4"/>
  <c r="E9" i="4"/>
  <c r="E27" i="4"/>
  <c r="V8" i="4"/>
  <c r="E4" i="4"/>
  <c r="V105" i="4" l="1"/>
  <c r="U105" i="4"/>
  <c r="AL105" i="4"/>
  <c r="AL103" i="4" l="1"/>
  <c r="AL104" i="4"/>
  <c r="V34" i="4"/>
  <c r="V28" i="4"/>
  <c r="V27" i="4"/>
  <c r="V24" i="4"/>
  <c r="V20" i="4"/>
  <c r="V19" i="4"/>
  <c r="V15" i="4"/>
  <c r="V13" i="4"/>
  <c r="V11" i="4"/>
  <c r="V9" i="4"/>
  <c r="V4" i="4"/>
  <c r="V5" i="4"/>
  <c r="V6" i="4"/>
  <c r="V7" i="4"/>
  <c r="V10" i="4"/>
  <c r="V12" i="4"/>
  <c r="V14" i="4"/>
  <c r="V16" i="4"/>
  <c r="V17" i="4"/>
  <c r="V18" i="4"/>
  <c r="V21" i="4"/>
  <c r="V22" i="4"/>
  <c r="V23" i="4"/>
  <c r="V25" i="4"/>
  <c r="V26" i="4"/>
  <c r="V197" i="4"/>
  <c r="V194" i="4"/>
  <c r="V188" i="4"/>
  <c r="V183" i="4"/>
  <c r="V173" i="4"/>
  <c r="V170" i="4"/>
  <c r="V168" i="4"/>
  <c r="V165" i="4"/>
  <c r="V162" i="4"/>
  <c r="V151" i="4"/>
  <c r="V149" i="4"/>
  <c r="V145" i="4"/>
  <c r="V143" i="4"/>
  <c r="V141" i="4"/>
  <c r="V139" i="4"/>
  <c r="V138" i="4"/>
  <c r="V136" i="4"/>
  <c r="V135" i="4"/>
  <c r="V129" i="4"/>
  <c r="V124" i="4"/>
  <c r="V119" i="4"/>
  <c r="V117" i="4"/>
  <c r="V116" i="4"/>
  <c r="V115" i="4"/>
  <c r="V114" i="4"/>
  <c r="V110" i="4"/>
  <c r="V106" i="4"/>
  <c r="V102" i="4"/>
  <c r="V89" i="4"/>
  <c r="V88" i="4"/>
  <c r="V87" i="4"/>
  <c r="V83" i="4"/>
  <c r="V78" i="4"/>
  <c r="V77" i="4"/>
  <c r="V73" i="4"/>
  <c r="V62" i="4"/>
  <c r="V58" i="4"/>
  <c r="V51" i="4"/>
  <c r="V49" i="4"/>
  <c r="V42" i="4"/>
  <c r="V40" i="4"/>
  <c r="V39" i="4"/>
  <c r="V35" i="4"/>
  <c r="V36" i="4"/>
  <c r="V37" i="4"/>
  <c r="V38" i="4"/>
  <c r="V41" i="4"/>
  <c r="V43" i="4"/>
  <c r="V44" i="4"/>
  <c r="V45" i="4"/>
  <c r="V46" i="4"/>
  <c r="V47" i="4"/>
  <c r="V48" i="4"/>
  <c r="V50" i="4"/>
  <c r="V52" i="4"/>
  <c r="V53" i="4"/>
  <c r="V54" i="4"/>
  <c r="V55" i="4"/>
  <c r="V56" i="4"/>
  <c r="V57" i="4"/>
  <c r="V59" i="4"/>
  <c r="V60" i="4"/>
  <c r="V61" i="4"/>
  <c r="V63" i="4"/>
  <c r="V64" i="4"/>
  <c r="V65" i="4"/>
  <c r="V66" i="4"/>
  <c r="V67" i="4"/>
  <c r="V68" i="4"/>
  <c r="V69" i="4"/>
  <c r="V70" i="4"/>
  <c r="V71" i="4"/>
  <c r="V72" i="4"/>
  <c r="V74" i="4"/>
  <c r="V75" i="4"/>
  <c r="V76" i="4"/>
  <c r="V79" i="4"/>
  <c r="V80" i="4"/>
  <c r="V81" i="4"/>
  <c r="V82" i="4"/>
  <c r="V84" i="4"/>
  <c r="V85" i="4"/>
  <c r="V86" i="4"/>
  <c r="V90" i="4"/>
  <c r="V91" i="4"/>
  <c r="V92" i="4"/>
  <c r="V93" i="4"/>
  <c r="V94" i="4"/>
  <c r="V95" i="4"/>
  <c r="V96" i="4"/>
  <c r="V97" i="4"/>
  <c r="V98" i="4"/>
  <c r="V99" i="4"/>
  <c r="V100" i="4"/>
  <c r="V101" i="4"/>
  <c r="V103" i="4"/>
  <c r="V104" i="4"/>
  <c r="V107" i="4"/>
  <c r="V108" i="4"/>
  <c r="V109" i="4"/>
  <c r="V111" i="4"/>
  <c r="V112" i="4"/>
  <c r="V113" i="4"/>
  <c r="V118" i="4"/>
  <c r="V120" i="4"/>
  <c r="V121" i="4"/>
  <c r="V122" i="4"/>
  <c r="V123" i="4"/>
  <c r="V125" i="4"/>
  <c r="V126" i="4"/>
  <c r="V127" i="4"/>
  <c r="V128" i="4"/>
  <c r="V130" i="4"/>
  <c r="V131" i="4"/>
  <c r="V132" i="4"/>
  <c r="V133" i="4"/>
  <c r="V134" i="4"/>
  <c r="V137" i="4"/>
  <c r="V140" i="4"/>
  <c r="V142" i="4"/>
  <c r="V144" i="4"/>
  <c r="V146" i="4"/>
  <c r="V147" i="4"/>
  <c r="V148" i="4"/>
  <c r="V150" i="4"/>
  <c r="V152" i="4"/>
  <c r="V153" i="4"/>
  <c r="V154" i="4"/>
  <c r="V155" i="4"/>
  <c r="V156" i="4"/>
  <c r="V157" i="4"/>
  <c r="V158" i="4"/>
  <c r="V159" i="4"/>
  <c r="V160" i="4"/>
  <c r="V161" i="4"/>
  <c r="V163" i="4"/>
  <c r="V164" i="4"/>
  <c r="V166" i="4"/>
  <c r="V167" i="4"/>
  <c r="V169" i="4"/>
  <c r="V171" i="4"/>
  <c r="V172" i="4"/>
  <c r="V174" i="4"/>
  <c r="V175" i="4"/>
  <c r="V176" i="4"/>
  <c r="V177" i="4"/>
  <c r="V178" i="4"/>
  <c r="V179" i="4"/>
  <c r="V180" i="4"/>
  <c r="V181" i="4"/>
  <c r="V182" i="4"/>
  <c r="V184" i="4"/>
  <c r="V185" i="4"/>
  <c r="V186" i="4"/>
  <c r="V187" i="4"/>
  <c r="V189" i="4"/>
  <c r="V190" i="4"/>
  <c r="V191" i="4"/>
  <c r="V192" i="4"/>
  <c r="V193" i="4"/>
  <c r="V195" i="4"/>
  <c r="V196" i="4"/>
  <c r="E5" i="4"/>
  <c r="E6" i="4"/>
  <c r="E7" i="4"/>
  <c r="E10" i="4"/>
  <c r="E12" i="4"/>
  <c r="E13" i="4"/>
  <c r="E14" i="4"/>
  <c r="E16" i="4"/>
  <c r="E17" i="4"/>
  <c r="E18" i="4"/>
  <c r="E21" i="4"/>
  <c r="E22" i="4"/>
  <c r="E23" i="4"/>
  <c r="E25" i="4"/>
  <c r="E26" i="4"/>
  <c r="E29" i="4"/>
  <c r="E30" i="4"/>
  <c r="E31" i="4"/>
  <c r="E32" i="4"/>
  <c r="E33" i="4"/>
  <c r="E35" i="4"/>
  <c r="E36" i="4"/>
  <c r="E37" i="4"/>
  <c r="E38" i="4"/>
  <c r="E41" i="4"/>
  <c r="E43" i="4"/>
  <c r="E44" i="4"/>
  <c r="E45" i="4"/>
  <c r="E46" i="4"/>
  <c r="E47" i="4"/>
  <c r="E48" i="4"/>
  <c r="E50" i="4"/>
  <c r="E52" i="4"/>
  <c r="E53" i="4"/>
  <c r="E54" i="4"/>
  <c r="E55" i="4"/>
  <c r="E56" i="4"/>
  <c r="E57" i="4"/>
  <c r="E59" i="4"/>
  <c r="E60" i="4"/>
  <c r="E61" i="4"/>
  <c r="E63" i="4"/>
  <c r="E64" i="4"/>
  <c r="E65" i="4"/>
  <c r="E66" i="4"/>
  <c r="E67" i="4"/>
  <c r="E68" i="4"/>
  <c r="E69" i="4"/>
  <c r="E70" i="4"/>
  <c r="E71" i="4"/>
  <c r="E72" i="4"/>
  <c r="E74" i="4"/>
  <c r="E75" i="4"/>
  <c r="E76" i="4"/>
  <c r="E79" i="4"/>
  <c r="E80" i="4"/>
  <c r="E81" i="4"/>
  <c r="E82" i="4"/>
  <c r="E84" i="4"/>
  <c r="E85" i="4"/>
  <c r="E86" i="4"/>
  <c r="E90" i="4"/>
  <c r="E91" i="4"/>
  <c r="E92" i="4"/>
  <c r="E93" i="4"/>
  <c r="E94" i="4"/>
  <c r="E95" i="4"/>
  <c r="E96" i="4"/>
  <c r="E97" i="4"/>
  <c r="E98" i="4"/>
  <c r="E99" i="4"/>
  <c r="E100" i="4"/>
  <c r="E101" i="4"/>
  <c r="E103" i="4"/>
  <c r="E104" i="4"/>
  <c r="E107" i="4"/>
  <c r="E108" i="4"/>
  <c r="E109" i="4"/>
  <c r="E111" i="4"/>
  <c r="E112" i="4"/>
  <c r="E113" i="4"/>
  <c r="E118" i="4"/>
  <c r="E120" i="4"/>
  <c r="E121" i="4"/>
  <c r="E122" i="4"/>
  <c r="E123" i="4"/>
  <c r="E125" i="4"/>
  <c r="E126" i="4"/>
  <c r="E127" i="4"/>
  <c r="E128" i="4"/>
  <c r="E130" i="4"/>
  <c r="E131" i="4"/>
  <c r="E132" i="4"/>
  <c r="E133" i="4"/>
  <c r="E134" i="4"/>
  <c r="E137" i="4"/>
  <c r="E140" i="4"/>
  <c r="E142" i="4"/>
  <c r="E144" i="4"/>
  <c r="E146" i="4"/>
  <c r="E147" i="4"/>
  <c r="E148" i="4"/>
  <c r="E150" i="4"/>
  <c r="E152" i="4"/>
  <c r="E153" i="4"/>
  <c r="E154" i="4"/>
  <c r="E155" i="4"/>
  <c r="E156" i="4"/>
  <c r="E157" i="4"/>
  <c r="E158" i="4"/>
  <c r="E159" i="4"/>
  <c r="E160" i="4"/>
  <c r="E161" i="4"/>
  <c r="E163" i="4"/>
  <c r="E164" i="4"/>
  <c r="E166" i="4"/>
  <c r="E167" i="4"/>
  <c r="E169" i="4"/>
  <c r="E171" i="4"/>
  <c r="E172" i="4"/>
  <c r="E174" i="4"/>
  <c r="E175" i="4"/>
  <c r="E176" i="4"/>
  <c r="E177" i="4"/>
  <c r="E178" i="4"/>
  <c r="E179" i="4"/>
  <c r="E180" i="4"/>
  <c r="E181" i="4"/>
  <c r="E182" i="4"/>
  <c r="E184" i="4"/>
  <c r="E185" i="4"/>
  <c r="E186" i="4"/>
  <c r="E187" i="4"/>
  <c r="E189" i="4"/>
  <c r="E190" i="4"/>
  <c r="E191" i="4"/>
  <c r="E192" i="4"/>
  <c r="E193" i="4"/>
  <c r="E195" i="4"/>
  <c r="E196" i="4"/>
  <c r="E198" i="4"/>
  <c r="E199" i="4"/>
  <c r="E200" i="4"/>
  <c r="E201" i="4"/>
  <c r="E202" i="4"/>
  <c r="E203" i="4"/>
  <c r="E204" i="4"/>
  <c r="E205" i="4"/>
  <c r="B28" i="2" l="1"/>
  <c r="B19" i="2"/>
  <c r="B34" i="2"/>
  <c r="B27" i="2"/>
  <c r="B26" i="2"/>
  <c r="B25" i="2"/>
  <c r="B20" i="2"/>
  <c r="B18" i="2"/>
  <c r="B17" i="2"/>
  <c r="B16" i="2"/>
  <c r="B21" i="2" s="1"/>
  <c r="B35" i="2" s="1"/>
  <c r="B11" i="2"/>
  <c r="B12" i="2" s="1"/>
  <c r="B33" i="2" s="1"/>
  <c r="R12" i="2"/>
  <c r="O12" i="2"/>
  <c r="L14" i="2"/>
  <c r="I14" i="2"/>
  <c r="F14" i="2"/>
  <c r="L27" i="2"/>
  <c r="I27" i="2"/>
  <c r="B24" i="2" s="1"/>
  <c r="F26" i="2"/>
  <c r="B36" i="2" l="1"/>
  <c r="AL197" i="4" l="1"/>
  <c r="AL194" i="4"/>
  <c r="AL188" i="4"/>
  <c r="AL183" i="4"/>
  <c r="AL173" i="4"/>
  <c r="AL170" i="4"/>
  <c r="AL168" i="4"/>
  <c r="AL165" i="4"/>
  <c r="AL162" i="4"/>
  <c r="AL151" i="4"/>
  <c r="AL149" i="4"/>
  <c r="AL145" i="4"/>
  <c r="AL143" i="4"/>
  <c r="AL141" i="4"/>
  <c r="AL139" i="4"/>
  <c r="AL138" i="4"/>
  <c r="AL136" i="4"/>
  <c r="AL135" i="4"/>
  <c r="AL129" i="4"/>
  <c r="AL124" i="4"/>
  <c r="AL119" i="4"/>
  <c r="AL117" i="4"/>
  <c r="AL116" i="4"/>
  <c r="AL115" i="4"/>
  <c r="AL114" i="4"/>
  <c r="AL110" i="4"/>
  <c r="AL106" i="4"/>
  <c r="A1" i="4"/>
  <c r="AL102" i="4"/>
  <c r="AL89" i="4"/>
  <c r="AL88" i="4"/>
  <c r="AL87" i="4"/>
  <c r="AL78" i="4"/>
  <c r="AL77" i="4"/>
  <c r="AL73" i="4"/>
  <c r="AL62" i="4"/>
  <c r="AL58" i="4"/>
  <c r="AL51" i="4"/>
  <c r="AL49" i="4"/>
  <c r="AL42" i="4"/>
  <c r="AL39" i="4"/>
  <c r="AL40" i="4"/>
  <c r="AL34" i="4"/>
  <c r="AL28" i="4"/>
  <c r="AL27" i="4"/>
  <c r="AL24" i="4"/>
  <c r="AL20" i="4"/>
  <c r="AL19" i="4"/>
  <c r="AL13" i="4"/>
  <c r="AL15" i="4"/>
  <c r="AL11" i="4"/>
  <c r="AL9" i="4"/>
  <c r="AL8" i="4"/>
  <c r="AX206" i="4"/>
  <c r="U197" i="4"/>
  <c r="U194" i="4"/>
  <c r="U188" i="4"/>
  <c r="U183" i="4"/>
  <c r="U173" i="4"/>
  <c r="U168" i="4"/>
  <c r="U165" i="4"/>
  <c r="U162" i="4"/>
  <c r="U151" i="4"/>
  <c r="U149" i="4"/>
  <c r="U145" i="4"/>
  <c r="U143" i="4"/>
  <c r="U141" i="4"/>
  <c r="U139" i="4"/>
  <c r="U138" i="4"/>
  <c r="U136" i="4"/>
  <c r="U135" i="4"/>
  <c r="U129" i="4"/>
  <c r="U124" i="4"/>
  <c r="U119" i="4"/>
  <c r="U117" i="4"/>
  <c r="U116" i="4"/>
  <c r="U115" i="4"/>
  <c r="U114" i="4"/>
  <c r="U88" i="4"/>
  <c r="U27" i="4" l="1"/>
  <c r="U24" i="4"/>
  <c r="D39" i="4"/>
  <c r="U34" i="4"/>
  <c r="U28" i="4"/>
  <c r="U4" i="4" l="1"/>
  <c r="D6" i="4"/>
  <c r="D12" i="4"/>
  <c r="D16" i="4"/>
  <c r="D18" i="4"/>
  <c r="D22" i="4"/>
  <c r="D25" i="4"/>
  <c r="D29" i="4"/>
  <c r="D31" i="4"/>
  <c r="D33" i="4"/>
  <c r="D36" i="4"/>
  <c r="D38" i="4"/>
  <c r="D43" i="4"/>
  <c r="D45" i="4"/>
  <c r="D47" i="4"/>
  <c r="D50" i="4"/>
  <c r="D53" i="4"/>
  <c r="D55" i="4"/>
  <c r="D57" i="4"/>
  <c r="D60" i="4"/>
  <c r="D63" i="4"/>
  <c r="D65" i="4"/>
  <c r="D67" i="4"/>
  <c r="D69" i="4"/>
  <c r="D71" i="4"/>
  <c r="D74" i="4"/>
  <c r="D76" i="4"/>
  <c r="D80" i="4"/>
  <c r="D82" i="4"/>
  <c r="D85" i="4"/>
  <c r="D90" i="4"/>
  <c r="D92" i="4"/>
  <c r="D94" i="4"/>
  <c r="D96" i="4"/>
  <c r="D98" i="4"/>
  <c r="D100" i="4"/>
  <c r="D103" i="4"/>
  <c r="D108" i="4"/>
  <c r="D111" i="4"/>
  <c r="D113" i="4"/>
  <c r="D120" i="4"/>
  <c r="D122" i="4"/>
  <c r="D125" i="4"/>
  <c r="D127" i="4"/>
  <c r="D130" i="4"/>
  <c r="D5" i="4"/>
  <c r="D14" i="4"/>
  <c r="D21" i="4"/>
  <c r="D26" i="4"/>
  <c r="D32" i="4"/>
  <c r="D37" i="4"/>
  <c r="D44" i="4"/>
  <c r="D48" i="4"/>
  <c r="D54" i="4"/>
  <c r="D59" i="4"/>
  <c r="D64" i="4"/>
  <c r="D68" i="4"/>
  <c r="D72" i="4"/>
  <c r="D79" i="4"/>
  <c r="D84" i="4"/>
  <c r="D91" i="4"/>
  <c r="D95" i="4"/>
  <c r="D99" i="4"/>
  <c r="D104" i="4"/>
  <c r="D109" i="4"/>
  <c r="D118" i="4"/>
  <c r="D123" i="4"/>
  <c r="D128" i="4"/>
  <c r="D132" i="4"/>
  <c r="D134" i="4"/>
  <c r="D140" i="4"/>
  <c r="D144" i="4"/>
  <c r="D147" i="4"/>
  <c r="D150" i="4"/>
  <c r="D153" i="4"/>
  <c r="D155" i="4"/>
  <c r="D157" i="4"/>
  <c r="D159" i="4"/>
  <c r="D161" i="4"/>
  <c r="D164" i="4"/>
  <c r="D167" i="4"/>
  <c r="D169" i="4"/>
  <c r="D172" i="4"/>
  <c r="D175" i="4"/>
  <c r="D177" i="4"/>
  <c r="D179" i="4"/>
  <c r="D181" i="4"/>
  <c r="D184" i="4"/>
  <c r="D186" i="4"/>
  <c r="D189" i="4"/>
  <c r="D191" i="4"/>
  <c r="D193" i="4"/>
  <c r="D196" i="4"/>
  <c r="D199" i="4"/>
  <c r="D201" i="4"/>
  <c r="D203" i="4"/>
  <c r="D10" i="4"/>
  <c r="D23" i="4"/>
  <c r="D35" i="4"/>
  <c r="D46" i="4"/>
  <c r="D56" i="4"/>
  <c r="D66" i="4"/>
  <c r="D75" i="4"/>
  <c r="D86" i="4"/>
  <c r="D97" i="4"/>
  <c r="D107" i="4"/>
  <c r="D121" i="4"/>
  <c r="D131" i="4"/>
  <c r="D137" i="4"/>
  <c r="D146" i="4"/>
  <c r="D152" i="4"/>
  <c r="D156" i="4"/>
  <c r="D160" i="4"/>
  <c r="D166" i="4"/>
  <c r="D171" i="4"/>
  <c r="D176" i="4"/>
  <c r="D180" i="4"/>
  <c r="D185" i="4"/>
  <c r="D190" i="4"/>
  <c r="D195" i="4"/>
  <c r="D200" i="4"/>
  <c r="D17" i="4"/>
  <c r="D41" i="4"/>
  <c r="D61" i="4"/>
  <c r="D81" i="4"/>
  <c r="D101" i="4"/>
  <c r="D126" i="4"/>
  <c r="D142" i="4"/>
  <c r="D154" i="4"/>
  <c r="D163" i="4"/>
  <c r="D174" i="4"/>
  <c r="D182" i="4"/>
  <c r="D192" i="4"/>
  <c r="D202" i="4"/>
  <c r="D52" i="4"/>
  <c r="D93" i="4"/>
  <c r="D133" i="4"/>
  <c r="D158" i="4"/>
  <c r="D178" i="4"/>
  <c r="D198" i="4"/>
  <c r="D30" i="4"/>
  <c r="D70" i="4"/>
  <c r="D112" i="4"/>
  <c r="D148" i="4"/>
  <c r="D187" i="4"/>
  <c r="D7" i="4"/>
  <c r="U9" i="4"/>
  <c r="U11" i="4"/>
  <c r="U13" i="4"/>
  <c r="U15" i="4"/>
  <c r="U19" i="4"/>
  <c r="U20" i="4"/>
  <c r="U39" i="4"/>
  <c r="U40" i="4"/>
  <c r="U42" i="4"/>
  <c r="U49" i="4"/>
  <c r="U51" i="4"/>
  <c r="U58" i="4"/>
  <c r="U62" i="4"/>
  <c r="U73" i="4"/>
  <c r="U77" i="4"/>
  <c r="U78" i="4"/>
  <c r="U83" i="4"/>
  <c r="U87" i="4"/>
  <c r="U89" i="4"/>
  <c r="U102" i="4"/>
  <c r="U106" i="4"/>
  <c r="U7" i="4" l="1"/>
  <c r="U8" i="4"/>
  <c r="I198" i="4"/>
  <c r="I199" i="4"/>
  <c r="I200" i="4"/>
  <c r="I201" i="4"/>
  <c r="I202" i="4"/>
  <c r="I203" i="4"/>
  <c r="I204" i="4"/>
  <c r="I205" i="4"/>
  <c r="N203" i="4" l="1"/>
  <c r="N202" i="4"/>
  <c r="N201" i="4"/>
  <c r="AE205" i="4" l="1"/>
  <c r="J64" i="6" l="1"/>
  <c r="AX205" i="4" l="1"/>
  <c r="H34" i="8" l="1"/>
  <c r="I26" i="8"/>
  <c r="I19" i="8"/>
  <c r="I33" i="8" s="1"/>
  <c r="I10" i="8"/>
  <c r="I31" i="8" s="1"/>
  <c r="I34" i="8" l="1"/>
  <c r="AX83" i="4" l="1"/>
  <c r="AX201" i="4" l="1"/>
  <c r="AX203" i="4" l="1"/>
  <c r="AX204" i="4"/>
  <c r="X26" i="4"/>
  <c r="X25" i="4"/>
  <c r="X23" i="4"/>
  <c r="X22" i="4"/>
  <c r="X21" i="4"/>
  <c r="X18" i="4"/>
  <c r="X17" i="4"/>
  <c r="X16" i="4"/>
  <c r="X14" i="4"/>
  <c r="X12" i="4"/>
  <c r="X10" i="4"/>
  <c r="X6" i="4"/>
  <c r="X5" i="4"/>
  <c r="D205" i="4"/>
  <c r="AC203" i="4"/>
  <c r="AA203" i="4"/>
  <c r="Z203" i="4"/>
  <c r="Y203" i="4"/>
  <c r="X203" i="4"/>
  <c r="U203" i="4"/>
  <c r="O203" i="4"/>
  <c r="M203" i="4"/>
  <c r="L203" i="4"/>
  <c r="K203" i="4"/>
  <c r="J203" i="4"/>
  <c r="H203" i="4"/>
  <c r="G203" i="4"/>
  <c r="F203" i="4"/>
  <c r="AC202" i="4"/>
  <c r="AA202" i="4"/>
  <c r="Z202" i="4"/>
  <c r="Y202" i="4"/>
  <c r="X202" i="4"/>
  <c r="U202" i="4"/>
  <c r="O202" i="4"/>
  <c r="M202" i="4"/>
  <c r="L202" i="4"/>
  <c r="K202" i="4"/>
  <c r="J202" i="4"/>
  <c r="H202" i="4"/>
  <c r="G202" i="4"/>
  <c r="F202" i="4"/>
  <c r="AC201" i="4"/>
  <c r="AA201" i="4"/>
  <c r="Z201" i="4"/>
  <c r="Y201" i="4"/>
  <c r="X201" i="4"/>
  <c r="U201" i="4"/>
  <c r="O201" i="4"/>
  <c r="M201" i="4"/>
  <c r="L201" i="4"/>
  <c r="K201" i="4"/>
  <c r="J201" i="4"/>
  <c r="H201" i="4"/>
  <c r="G201" i="4"/>
  <c r="F201" i="4"/>
  <c r="AC200" i="4"/>
  <c r="AA200" i="4"/>
  <c r="Z200" i="4"/>
  <c r="Y200" i="4"/>
  <c r="X200" i="4"/>
  <c r="U200" i="4"/>
  <c r="O200" i="4"/>
  <c r="N200" i="4"/>
  <c r="M200" i="4"/>
  <c r="L200" i="4"/>
  <c r="K200" i="4"/>
  <c r="J200" i="4"/>
  <c r="H200" i="4"/>
  <c r="G200" i="4"/>
  <c r="F200" i="4"/>
  <c r="AC199" i="4"/>
  <c r="AA199" i="4"/>
  <c r="Z199" i="4"/>
  <c r="Y199" i="4"/>
  <c r="X199" i="4"/>
  <c r="U199" i="4"/>
  <c r="O199" i="4"/>
  <c r="N199" i="4"/>
  <c r="M199" i="4"/>
  <c r="L199" i="4"/>
  <c r="K199" i="4"/>
  <c r="J199" i="4"/>
  <c r="H199" i="4"/>
  <c r="G199" i="4"/>
  <c r="F199" i="4"/>
  <c r="AC198" i="4"/>
  <c r="AA198" i="4"/>
  <c r="Z198" i="4"/>
  <c r="Y198" i="4"/>
  <c r="X198" i="4"/>
  <c r="U198" i="4"/>
  <c r="O198" i="4"/>
  <c r="N198" i="4"/>
  <c r="M198" i="4"/>
  <c r="L198" i="4"/>
  <c r="K198" i="4"/>
  <c r="J198" i="4"/>
  <c r="H198" i="4"/>
  <c r="G198" i="4"/>
  <c r="F198" i="4"/>
  <c r="AA196" i="4"/>
  <c r="Y196" i="4"/>
  <c r="X196" i="4"/>
  <c r="U196" i="4"/>
  <c r="AA195" i="4"/>
  <c r="Y195" i="4"/>
  <c r="X195" i="4"/>
  <c r="U195" i="4"/>
  <c r="Y193" i="4"/>
  <c r="X193" i="4"/>
  <c r="U193" i="4"/>
  <c r="Y192" i="4"/>
  <c r="X192" i="4"/>
  <c r="U192" i="4"/>
  <c r="Y191" i="4"/>
  <c r="X191" i="4"/>
  <c r="U191" i="4"/>
  <c r="Y190" i="4"/>
  <c r="X190" i="4"/>
  <c r="U190" i="4"/>
  <c r="Y189" i="4"/>
  <c r="X189" i="4"/>
  <c r="U189" i="4"/>
  <c r="Y187" i="4"/>
  <c r="X187" i="4"/>
  <c r="U187" i="4"/>
  <c r="Y186" i="4"/>
  <c r="X186" i="4"/>
  <c r="U186" i="4"/>
  <c r="Y185" i="4"/>
  <c r="X185" i="4"/>
  <c r="U185" i="4"/>
  <c r="Y184" i="4"/>
  <c r="X184" i="4"/>
  <c r="U184" i="4"/>
  <c r="Y182" i="4"/>
  <c r="X182" i="4"/>
  <c r="U182" i="4"/>
  <c r="Y181" i="4"/>
  <c r="X181" i="4"/>
  <c r="U181" i="4"/>
  <c r="Y180" i="4"/>
  <c r="X180" i="4"/>
  <c r="U180" i="4"/>
  <c r="Y179" i="4"/>
  <c r="X179" i="4"/>
  <c r="U179" i="4"/>
  <c r="Y178" i="4"/>
  <c r="X178" i="4"/>
  <c r="U178" i="4"/>
  <c r="Y177" i="4"/>
  <c r="X177" i="4"/>
  <c r="U177" i="4"/>
  <c r="Y176" i="4"/>
  <c r="X176" i="4"/>
  <c r="U176" i="4"/>
  <c r="Y175" i="4"/>
  <c r="X175" i="4"/>
  <c r="U175" i="4"/>
  <c r="Y174" i="4"/>
  <c r="X174" i="4"/>
  <c r="U174" i="4"/>
  <c r="Y172" i="4"/>
  <c r="X172" i="4"/>
  <c r="U172" i="4"/>
  <c r="Y171" i="4"/>
  <c r="X171" i="4"/>
  <c r="U171" i="4"/>
  <c r="U170" i="4"/>
  <c r="Y169" i="4"/>
  <c r="X169" i="4"/>
  <c r="U169" i="4"/>
  <c r="Y167" i="4"/>
  <c r="X167" i="4"/>
  <c r="U167" i="4"/>
  <c r="Y166" i="4"/>
  <c r="X166" i="4"/>
  <c r="U166" i="4"/>
  <c r="Y164" i="4"/>
  <c r="X164" i="4"/>
  <c r="U164" i="4"/>
  <c r="Y163" i="4"/>
  <c r="X163" i="4"/>
  <c r="U163" i="4"/>
  <c r="Y161" i="4"/>
  <c r="X161" i="4"/>
  <c r="U161" i="4"/>
  <c r="Y160" i="4"/>
  <c r="X160" i="4"/>
  <c r="U160" i="4"/>
  <c r="Y159" i="4"/>
  <c r="X159" i="4"/>
  <c r="U159" i="4"/>
  <c r="Y158" i="4"/>
  <c r="X158" i="4"/>
  <c r="U158" i="4"/>
  <c r="Y157" i="4"/>
  <c r="X157" i="4"/>
  <c r="U157" i="4"/>
  <c r="Y156" i="4"/>
  <c r="X156" i="4"/>
  <c r="U156" i="4"/>
  <c r="Y155" i="4"/>
  <c r="X155" i="4"/>
  <c r="U155" i="4"/>
  <c r="Y154" i="4"/>
  <c r="X154" i="4"/>
  <c r="U154" i="4"/>
  <c r="Y153" i="4"/>
  <c r="X153" i="4"/>
  <c r="U153" i="4"/>
  <c r="Y152" i="4"/>
  <c r="X152" i="4"/>
  <c r="U152" i="4"/>
  <c r="Y150" i="4"/>
  <c r="X150" i="4"/>
  <c r="U150" i="4"/>
  <c r="Y148" i="4"/>
  <c r="X148" i="4"/>
  <c r="U148" i="4"/>
  <c r="Y147" i="4"/>
  <c r="X147" i="4"/>
  <c r="U147" i="4"/>
  <c r="Y146" i="4"/>
  <c r="X146" i="4"/>
  <c r="U146" i="4"/>
  <c r="Y144" i="4"/>
  <c r="X144" i="4"/>
  <c r="U144" i="4"/>
  <c r="Y142" i="4"/>
  <c r="X142" i="4"/>
  <c r="U142" i="4"/>
  <c r="Y140" i="4"/>
  <c r="X140" i="4"/>
  <c r="U140" i="4"/>
  <c r="Y137" i="4"/>
  <c r="X137" i="4"/>
  <c r="U137" i="4"/>
  <c r="Y134" i="4"/>
  <c r="X134" i="4"/>
  <c r="U134" i="4"/>
  <c r="Y133" i="4"/>
  <c r="X133" i="4"/>
  <c r="U133" i="4"/>
  <c r="Y132" i="4"/>
  <c r="X132" i="4"/>
  <c r="U132" i="4"/>
  <c r="Y131" i="4"/>
  <c r="X131" i="4"/>
  <c r="U131" i="4"/>
  <c r="Y130" i="4"/>
  <c r="X130" i="4"/>
  <c r="U130" i="4"/>
  <c r="X129" i="4"/>
  <c r="Y128" i="4"/>
  <c r="X128" i="4"/>
  <c r="U128" i="4"/>
  <c r="Y127" i="4"/>
  <c r="X127" i="4"/>
  <c r="U127" i="4"/>
  <c r="Y126" i="4"/>
  <c r="X126" i="4"/>
  <c r="U126" i="4"/>
  <c r="Y125" i="4"/>
  <c r="X125" i="4"/>
  <c r="U125" i="4"/>
  <c r="Y124" i="4"/>
  <c r="X124" i="4"/>
  <c r="Y123" i="4"/>
  <c r="X123" i="4"/>
  <c r="U123" i="4"/>
  <c r="Y122" i="4"/>
  <c r="X122" i="4"/>
  <c r="U122" i="4"/>
  <c r="Y121" i="4"/>
  <c r="X121" i="4"/>
  <c r="U121" i="4"/>
  <c r="Y120" i="4"/>
  <c r="X120" i="4"/>
  <c r="U120" i="4"/>
  <c r="Y118" i="4"/>
  <c r="X118" i="4"/>
  <c r="U118" i="4"/>
  <c r="Y113" i="4"/>
  <c r="X113" i="4"/>
  <c r="U113" i="4"/>
  <c r="Y112" i="4"/>
  <c r="X112" i="4"/>
  <c r="U112" i="4"/>
  <c r="Y111" i="4"/>
  <c r="X111" i="4"/>
  <c r="U111" i="4"/>
  <c r="U110" i="4"/>
  <c r="Y109" i="4"/>
  <c r="X109" i="4"/>
  <c r="U109" i="4"/>
  <c r="Y108" i="4"/>
  <c r="X108" i="4"/>
  <c r="U108" i="4"/>
  <c r="Y107" i="4"/>
  <c r="X107" i="4"/>
  <c r="U107" i="4"/>
  <c r="Y105" i="4"/>
  <c r="X105" i="4"/>
  <c r="Y104" i="4"/>
  <c r="X104" i="4"/>
  <c r="U104" i="4"/>
  <c r="Y103" i="4"/>
  <c r="X103" i="4"/>
  <c r="U103" i="4"/>
  <c r="Y101" i="4"/>
  <c r="X101" i="4"/>
  <c r="U101" i="4"/>
  <c r="Y100" i="4"/>
  <c r="X100" i="4"/>
  <c r="U100" i="4"/>
  <c r="Y99" i="4"/>
  <c r="X99" i="4"/>
  <c r="U99" i="4"/>
  <c r="Y98" i="4"/>
  <c r="X98" i="4"/>
  <c r="U98" i="4"/>
  <c r="Y97" i="4"/>
  <c r="X97" i="4"/>
  <c r="U97" i="4"/>
  <c r="Y96" i="4"/>
  <c r="X96" i="4"/>
  <c r="U96" i="4"/>
  <c r="Y95" i="4"/>
  <c r="X95" i="4"/>
  <c r="U95" i="4"/>
  <c r="Y94" i="4"/>
  <c r="X94" i="4"/>
  <c r="U94" i="4"/>
  <c r="Y93" i="4"/>
  <c r="X93" i="4"/>
  <c r="U93" i="4"/>
  <c r="Y92" i="4"/>
  <c r="X92" i="4"/>
  <c r="U92" i="4"/>
  <c r="Y91" i="4"/>
  <c r="X91" i="4"/>
  <c r="U91" i="4"/>
  <c r="Y90" i="4"/>
  <c r="X90" i="4"/>
  <c r="U90" i="4"/>
  <c r="Y86" i="4"/>
  <c r="X86" i="4"/>
  <c r="U86" i="4"/>
  <c r="Y85" i="4"/>
  <c r="X85" i="4"/>
  <c r="U85" i="4"/>
  <c r="Y84" i="4"/>
  <c r="X84" i="4"/>
  <c r="U84" i="4"/>
  <c r="Y82" i="4"/>
  <c r="X82" i="4"/>
  <c r="U82" i="4"/>
  <c r="Y81" i="4"/>
  <c r="X81" i="4"/>
  <c r="U81" i="4"/>
  <c r="Y80" i="4"/>
  <c r="X80" i="4"/>
  <c r="U80" i="4"/>
  <c r="Y79" i="4"/>
  <c r="X79" i="4"/>
  <c r="U79" i="4"/>
  <c r="Y76" i="4"/>
  <c r="X76" i="4"/>
  <c r="U76" i="4"/>
  <c r="Y75" i="4"/>
  <c r="X75" i="4"/>
  <c r="U75" i="4"/>
  <c r="Y74" i="4"/>
  <c r="X74" i="4"/>
  <c r="U74" i="4"/>
  <c r="Y72" i="4"/>
  <c r="X72" i="4"/>
  <c r="U72" i="4"/>
  <c r="Y71" i="4"/>
  <c r="X71" i="4"/>
  <c r="U71" i="4"/>
  <c r="Y70" i="4"/>
  <c r="X70" i="4"/>
  <c r="U70" i="4"/>
  <c r="Y69" i="4"/>
  <c r="X69" i="4"/>
  <c r="U69" i="4"/>
  <c r="Y68" i="4"/>
  <c r="X68" i="4"/>
  <c r="U68" i="4"/>
  <c r="Y67" i="4"/>
  <c r="X67" i="4"/>
  <c r="U67" i="4"/>
  <c r="Y66" i="4"/>
  <c r="X66" i="4"/>
  <c r="U66" i="4"/>
  <c r="Y65" i="4"/>
  <c r="X65" i="4"/>
  <c r="U65" i="4"/>
  <c r="Y64" i="4"/>
  <c r="X64" i="4"/>
  <c r="U64" i="4"/>
  <c r="Y63" i="4"/>
  <c r="X63" i="4"/>
  <c r="U63" i="4"/>
  <c r="Y61" i="4"/>
  <c r="X61" i="4"/>
  <c r="U61" i="4"/>
  <c r="Y60" i="4"/>
  <c r="X60" i="4"/>
  <c r="U60" i="4"/>
  <c r="Y59" i="4"/>
  <c r="X59" i="4"/>
  <c r="U59" i="4"/>
  <c r="Y57" i="4"/>
  <c r="X57" i="4"/>
  <c r="U57" i="4"/>
  <c r="Y56" i="4"/>
  <c r="X56" i="4"/>
  <c r="U56" i="4"/>
  <c r="Y55" i="4"/>
  <c r="X55" i="4"/>
  <c r="U55" i="4"/>
  <c r="Y54" i="4"/>
  <c r="X54" i="4"/>
  <c r="U54" i="4"/>
  <c r="Y53" i="4"/>
  <c r="X53" i="4"/>
  <c r="U53" i="4"/>
  <c r="Y52" i="4"/>
  <c r="X52" i="4"/>
  <c r="U52" i="4"/>
  <c r="Y50" i="4"/>
  <c r="X50" i="4"/>
  <c r="U50" i="4"/>
  <c r="Y48" i="4"/>
  <c r="X48" i="4"/>
  <c r="U48" i="4"/>
  <c r="Y47" i="4"/>
  <c r="X47" i="4"/>
  <c r="U47" i="4"/>
  <c r="Y46" i="4"/>
  <c r="X46" i="4"/>
  <c r="U46" i="4"/>
  <c r="Y45" i="4"/>
  <c r="X45" i="4"/>
  <c r="U45" i="4"/>
  <c r="Y44" i="4"/>
  <c r="X44" i="4"/>
  <c r="U44" i="4"/>
  <c r="Y43" i="4"/>
  <c r="X43" i="4"/>
  <c r="U43" i="4"/>
  <c r="Y41" i="4"/>
  <c r="X41" i="4"/>
  <c r="U41" i="4"/>
  <c r="Y38" i="4"/>
  <c r="X38" i="4"/>
  <c r="U38" i="4"/>
  <c r="Y37" i="4"/>
  <c r="X37" i="4"/>
  <c r="U37" i="4"/>
  <c r="Y36" i="4"/>
  <c r="X36" i="4"/>
  <c r="U36" i="4"/>
  <c r="Y35" i="4"/>
  <c r="X35" i="4"/>
  <c r="U35" i="4"/>
  <c r="Y33" i="4"/>
  <c r="X33" i="4"/>
  <c r="U33" i="4"/>
  <c r="Y32" i="4"/>
  <c r="X32" i="4"/>
  <c r="U32" i="4"/>
  <c r="Y31" i="4"/>
  <c r="X31" i="4"/>
  <c r="U31" i="4"/>
  <c r="Y30" i="4"/>
  <c r="X30" i="4"/>
  <c r="U30" i="4"/>
  <c r="Y29" i="4"/>
  <c r="X29" i="4"/>
  <c r="U29" i="4"/>
  <c r="Y26" i="4"/>
  <c r="U26" i="4"/>
  <c r="Y25" i="4"/>
  <c r="U25" i="4"/>
  <c r="Y23" i="4"/>
  <c r="U23" i="4"/>
  <c r="Y22" i="4"/>
  <c r="U22" i="4"/>
  <c r="Y21" i="4"/>
  <c r="U21" i="4"/>
  <c r="Y18" i="4"/>
  <c r="U18" i="4"/>
  <c r="Y17" i="4"/>
  <c r="U17" i="4"/>
  <c r="Y16" i="4"/>
  <c r="U16" i="4"/>
  <c r="Y14" i="4"/>
  <c r="U14" i="4"/>
  <c r="Y12" i="4"/>
  <c r="U12" i="4"/>
  <c r="Y10" i="4"/>
  <c r="U10" i="4"/>
  <c r="Y6" i="4"/>
  <c r="U6" i="4"/>
  <c r="Y5" i="4"/>
  <c r="U5" i="4"/>
  <c r="AQ207" i="4" l="1"/>
  <c r="Z206" i="4"/>
  <c r="P4" i="4"/>
  <c r="AX6" i="4"/>
  <c r="AX7" i="4"/>
  <c r="AX9" i="4"/>
  <c r="AX55" i="4"/>
  <c r="AX53" i="4"/>
  <c r="AX50" i="4"/>
  <c r="AX46" i="4"/>
  <c r="AX44" i="4"/>
  <c r="AX41" i="4"/>
  <c r="AX37" i="4"/>
  <c r="AX35" i="4"/>
  <c r="AX32" i="4"/>
  <c r="AX30" i="4"/>
  <c r="AX26" i="4"/>
  <c r="AX23" i="4"/>
  <c r="AX21" i="4"/>
  <c r="AX17" i="4"/>
  <c r="AX12" i="4"/>
  <c r="AX15" i="4"/>
  <c r="AX4" i="4"/>
  <c r="AX19" i="4"/>
  <c r="AX27" i="4"/>
  <c r="AX34" i="4"/>
  <c r="AX40" i="4"/>
  <c r="AX47" i="4"/>
  <c r="AX51" i="4"/>
  <c r="AX57" i="4"/>
  <c r="AX193" i="4"/>
  <c r="AX191" i="4"/>
  <c r="AX187" i="4"/>
  <c r="AX185" i="4"/>
  <c r="AX182" i="4"/>
  <c r="AX180" i="4"/>
  <c r="AX177" i="4"/>
  <c r="AX175" i="4"/>
  <c r="AX172" i="4"/>
  <c r="AX169" i="4"/>
  <c r="AX166" i="4"/>
  <c r="AX163" i="4"/>
  <c r="AX160" i="4"/>
  <c r="AX158" i="4"/>
  <c r="AX154" i="4"/>
  <c r="AX150" i="4"/>
  <c r="AX147" i="4"/>
  <c r="AX145" i="4"/>
  <c r="AX142" i="4"/>
  <c r="AX137" i="4"/>
  <c r="AX132" i="4"/>
  <c r="AX129" i="4"/>
  <c r="AX127" i="4"/>
  <c r="AX125" i="4"/>
  <c r="AX123" i="4"/>
  <c r="AX118" i="4"/>
  <c r="AX112" i="4"/>
  <c r="AX108" i="4"/>
  <c r="AX105" i="4"/>
  <c r="AX63" i="4"/>
  <c r="AX62" i="4"/>
  <c r="AX73" i="4"/>
  <c r="AX78" i="4"/>
  <c r="AX103" i="4"/>
  <c r="AX100" i="4"/>
  <c r="AX98" i="4"/>
  <c r="AX96" i="4"/>
  <c r="AX94" i="4"/>
  <c r="AX92" i="4"/>
  <c r="AX90" i="4"/>
  <c r="AX75" i="4"/>
  <c r="AX72" i="4"/>
  <c r="AX70" i="4"/>
  <c r="AX68" i="4"/>
  <c r="AX66" i="4"/>
  <c r="AX60" i="4"/>
  <c r="AX88" i="4"/>
  <c r="AX102" i="4"/>
  <c r="AX110" i="4"/>
  <c r="AX114" i="4"/>
  <c r="AX116" i="4"/>
  <c r="AX119" i="4"/>
  <c r="AX122" i="4"/>
  <c r="AX133" i="4"/>
  <c r="AX136" i="4"/>
  <c r="AX139" i="4"/>
  <c r="AX143" i="4"/>
  <c r="AX151" i="4"/>
  <c r="AX155" i="4"/>
  <c r="AX162" i="4"/>
  <c r="AX168" i="4"/>
  <c r="AX173" i="4"/>
  <c r="AX183" i="4"/>
  <c r="AX190" i="4"/>
  <c r="AX202" i="4"/>
  <c r="AX82" i="4"/>
  <c r="AX81" i="4"/>
  <c r="AX80" i="4"/>
  <c r="AX79" i="4"/>
  <c r="AX195" i="4"/>
  <c r="AX10" i="4"/>
  <c r="AX5" i="4"/>
  <c r="AX8" i="4"/>
  <c r="AX11" i="4"/>
  <c r="AX54" i="4"/>
  <c r="AX52" i="4"/>
  <c r="AX48" i="4"/>
  <c r="AX45" i="4"/>
  <c r="AX43" i="4"/>
  <c r="AX39" i="4"/>
  <c r="AX36" i="4"/>
  <c r="AX33" i="4"/>
  <c r="AX31" i="4"/>
  <c r="AX29" i="4"/>
  <c r="AX25" i="4"/>
  <c r="AX22" i="4"/>
  <c r="AX18" i="4"/>
  <c r="AX14" i="4"/>
  <c r="AX13" i="4"/>
  <c r="AX16" i="4"/>
  <c r="AX20" i="4"/>
  <c r="AX24" i="4"/>
  <c r="AX28" i="4"/>
  <c r="AX38" i="4"/>
  <c r="AX42" i="4"/>
  <c r="AX49" i="4"/>
  <c r="AX56" i="4"/>
  <c r="AX58" i="4"/>
  <c r="AX196" i="4"/>
  <c r="AX192" i="4"/>
  <c r="AX189" i="4"/>
  <c r="AX186" i="4"/>
  <c r="AX184" i="4"/>
  <c r="AX181" i="4"/>
  <c r="AX178" i="4"/>
  <c r="AX176" i="4"/>
  <c r="AX174" i="4"/>
  <c r="AX171" i="4"/>
  <c r="AX167" i="4"/>
  <c r="AX164" i="4"/>
  <c r="AX161" i="4"/>
  <c r="AX159" i="4"/>
  <c r="AX156" i="4"/>
  <c r="AX152" i="4"/>
  <c r="AX148" i="4"/>
  <c r="AX146" i="4"/>
  <c r="AX144" i="4"/>
  <c r="AX140" i="4"/>
  <c r="AX134" i="4"/>
  <c r="AX131" i="4"/>
  <c r="AX128" i="4"/>
  <c r="AX126" i="4"/>
  <c r="AX124" i="4"/>
  <c r="AX120" i="4"/>
  <c r="AX113" i="4"/>
  <c r="AX109" i="4"/>
  <c r="AX107" i="4"/>
  <c r="AX104" i="4"/>
  <c r="AX101" i="4"/>
  <c r="AX99" i="4"/>
  <c r="AX97" i="4"/>
  <c r="AX95" i="4"/>
  <c r="AX93" i="4"/>
  <c r="AX91" i="4"/>
  <c r="AX76" i="4"/>
  <c r="AX74" i="4"/>
  <c r="AX71" i="4"/>
  <c r="AX69" i="4"/>
  <c r="AX67" i="4"/>
  <c r="AX64" i="4"/>
  <c r="AX61" i="4"/>
  <c r="AX59" i="4"/>
  <c r="AX65" i="4"/>
  <c r="AX77" i="4"/>
  <c r="AX87" i="4"/>
  <c r="AX89" i="4"/>
  <c r="AX106" i="4"/>
  <c r="AX111" i="4"/>
  <c r="AX115" i="4"/>
  <c r="AX117" i="4"/>
  <c r="AX121" i="4"/>
  <c r="AX130" i="4"/>
  <c r="AX135" i="4"/>
  <c r="AX138" i="4"/>
  <c r="AX141" i="4"/>
  <c r="AX149" i="4"/>
  <c r="AX153" i="4"/>
  <c r="AX157" i="4"/>
  <c r="AX165" i="4"/>
  <c r="AX170" i="4"/>
  <c r="AX179" i="4"/>
  <c r="AX188" i="4"/>
  <c r="AX194" i="4"/>
  <c r="AX197" i="4"/>
  <c r="AX199" i="4"/>
  <c r="AX198" i="4"/>
  <c r="AX85" i="4"/>
  <c r="AX200" i="4"/>
  <c r="AX86" i="4"/>
  <c r="AX84" i="4"/>
  <c r="J206" i="4"/>
  <c r="K206" i="4"/>
  <c r="AM207" i="4"/>
  <c r="D47" i="6"/>
  <c r="J57" i="6" s="1"/>
  <c r="L47" i="6"/>
  <c r="J65" i="6" s="1"/>
  <c r="E47" i="6"/>
  <c r="J58" i="6" s="1"/>
  <c r="I47" i="6"/>
  <c r="J62" i="6" s="1"/>
  <c r="AF205" i="4"/>
  <c r="AC205" i="4"/>
  <c r="AA205" i="4"/>
  <c r="Z205" i="4"/>
  <c r="Y205" i="4"/>
  <c r="X205" i="4"/>
  <c r="U205" i="4"/>
  <c r="O205" i="4"/>
  <c r="N205" i="4"/>
  <c r="M205" i="4"/>
  <c r="L205" i="4"/>
  <c r="K205" i="4"/>
  <c r="J205" i="4"/>
  <c r="H205" i="4"/>
  <c r="G205" i="4"/>
  <c r="F205" i="4"/>
  <c r="AC204" i="4"/>
  <c r="AA204" i="4"/>
  <c r="Z204" i="4"/>
  <c r="Y204" i="4"/>
  <c r="X204" i="4"/>
  <c r="U204" i="4"/>
  <c r="O204" i="4"/>
  <c r="N204" i="4"/>
  <c r="M204" i="4"/>
  <c r="L204" i="4"/>
  <c r="K204" i="4"/>
  <c r="J204" i="4"/>
  <c r="H204" i="4"/>
  <c r="G204" i="4"/>
  <c r="F204" i="4"/>
  <c r="F47" i="6" l="1"/>
  <c r="J59" i="6" s="1"/>
  <c r="B47" i="6"/>
  <c r="C47" i="6"/>
  <c r="J56" i="6" s="1"/>
  <c r="J47" i="6"/>
  <c r="J63" i="6" s="1"/>
  <c r="G47" i="6"/>
  <c r="J60" i="6" s="1"/>
  <c r="M47" i="6"/>
  <c r="J66" i="6" s="1"/>
  <c r="J55" i="6" l="1"/>
  <c r="N47" i="6"/>
  <c r="H47" i="6"/>
  <c r="J61" i="6" s="1"/>
  <c r="G10" i="6"/>
  <c r="H10" i="6" s="1"/>
  <c r="J67" i="6" l="1"/>
  <c r="J68" i="6" s="1"/>
  <c r="C38" i="6" l="1"/>
  <c r="AN207" i="4"/>
  <c r="D38" i="6" s="1"/>
  <c r="AO207" i="4"/>
  <c r="E38" i="6" s="1"/>
  <c r="AP207" i="4"/>
  <c r="F38" i="6" s="1"/>
  <c r="G38" i="6"/>
  <c r="AR207" i="4"/>
  <c r="H38" i="6" s="1"/>
  <c r="AS207" i="4"/>
  <c r="I38" i="6" s="1"/>
  <c r="AT207" i="4"/>
  <c r="J38" i="6" s="1"/>
  <c r="AU207" i="4"/>
  <c r="K38" i="6" s="1"/>
  <c r="AV207" i="4"/>
  <c r="L38" i="6" s="1"/>
  <c r="L51" i="6" s="1"/>
  <c r="AW207" i="4"/>
  <c r="M38" i="6" s="1"/>
  <c r="M51" i="6" s="1"/>
  <c r="AL207" i="4"/>
  <c r="B38" i="6" s="1"/>
  <c r="G8" i="6"/>
  <c r="H8" i="6" s="1"/>
  <c r="G6" i="6"/>
  <c r="H6" i="6" s="1"/>
  <c r="G12" i="6"/>
  <c r="H12" i="6" s="1"/>
  <c r="G14" i="6"/>
  <c r="H14" i="6" s="1"/>
  <c r="G16" i="6"/>
  <c r="H16" i="6" s="1"/>
  <c r="G18" i="6"/>
  <c r="H18" i="6" s="1"/>
  <c r="G20" i="6"/>
  <c r="H20" i="6" s="1"/>
  <c r="G22" i="6"/>
  <c r="H22" i="6" s="1"/>
  <c r="G24" i="6"/>
  <c r="H24" i="6" s="1"/>
  <c r="G26" i="6"/>
  <c r="H26" i="6" s="1"/>
  <c r="G4" i="6"/>
  <c r="H4" i="6" s="1"/>
  <c r="AG166" i="4" l="1"/>
  <c r="AG121" i="4"/>
  <c r="AG122" i="4"/>
  <c r="P121" i="4"/>
  <c r="P122" i="4"/>
  <c r="P166" i="4"/>
  <c r="G35" i="6"/>
  <c r="G41" i="6" s="1"/>
  <c r="V206" i="4"/>
  <c r="C35" i="6" s="1"/>
  <c r="I206" i="4"/>
  <c r="G206" i="4"/>
  <c r="E206" i="4"/>
  <c r="C41" i="6" l="1"/>
  <c r="B56" i="6"/>
  <c r="K56" i="6" s="1"/>
  <c r="B60" i="6"/>
  <c r="K60" i="6" s="1"/>
  <c r="F206" i="4"/>
  <c r="N206" i="4"/>
  <c r="W206" i="4"/>
  <c r="D35" i="6" s="1"/>
  <c r="AA206" i="4"/>
  <c r="H35" i="6" s="1"/>
  <c r="B61" i="6" s="1"/>
  <c r="K61" i="6" s="1"/>
  <c r="AE206" i="4"/>
  <c r="L35" i="6" s="1"/>
  <c r="B65" i="6" s="1"/>
  <c r="K65" i="6" s="1"/>
  <c r="O206" i="4"/>
  <c r="E35" i="6"/>
  <c r="AB206" i="4"/>
  <c r="I35" i="6" s="1"/>
  <c r="AF206" i="4"/>
  <c r="M35" i="6" s="1"/>
  <c r="B66" i="6" s="1"/>
  <c r="K66" i="6" s="1"/>
  <c r="D206" i="4"/>
  <c r="B41" i="6" s="1"/>
  <c r="C55" i="6" s="1"/>
  <c r="H206" i="4"/>
  <c r="L206" i="4"/>
  <c r="U206" i="4"/>
  <c r="Y206" i="4"/>
  <c r="F35" i="6" s="1"/>
  <c r="AC206" i="4"/>
  <c r="J35" i="6" s="1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D21" i="5"/>
  <c r="AC3" i="5"/>
  <c r="B35" i="6" l="1"/>
  <c r="B63" i="6"/>
  <c r="K63" i="6" s="1"/>
  <c r="B62" i="6"/>
  <c r="K62" i="6" s="1"/>
  <c r="F41" i="6"/>
  <c r="B59" i="6"/>
  <c r="K59" i="6" s="1"/>
  <c r="E41" i="6"/>
  <c r="B58" i="6"/>
  <c r="K58" i="6" s="1"/>
  <c r="D41" i="6"/>
  <c r="B57" i="6"/>
  <c r="K57" i="6" s="1"/>
  <c r="G42" i="6"/>
  <c r="C60" i="6"/>
  <c r="C56" i="6"/>
  <c r="I50" i="6"/>
  <c r="B81" i="6" s="1"/>
  <c r="I41" i="6"/>
  <c r="C62" i="6" s="1"/>
  <c r="L50" i="6"/>
  <c r="L41" i="6"/>
  <c r="J50" i="6"/>
  <c r="B82" i="6" s="1"/>
  <c r="C82" i="6" s="1"/>
  <c r="J41" i="6"/>
  <c r="M50" i="6"/>
  <c r="B85" i="6" s="1"/>
  <c r="C85" i="6" s="1"/>
  <c r="M41" i="6"/>
  <c r="C66" i="6" s="1"/>
  <c r="H50" i="6"/>
  <c r="B80" i="6" s="1"/>
  <c r="H41" i="6"/>
  <c r="C61" i="6" s="1"/>
  <c r="P7" i="4"/>
  <c r="P11" i="4"/>
  <c r="P19" i="4"/>
  <c r="P23" i="4"/>
  <c r="P27" i="4"/>
  <c r="P31" i="4"/>
  <c r="P39" i="4"/>
  <c r="P43" i="4"/>
  <c r="P51" i="4"/>
  <c r="P55" i="4"/>
  <c r="P63" i="4"/>
  <c r="P67" i="4"/>
  <c r="P71" i="4"/>
  <c r="P75" i="4"/>
  <c r="P83" i="4"/>
  <c r="P87" i="4"/>
  <c r="P91" i="4"/>
  <c r="P95" i="4"/>
  <c r="P103" i="4"/>
  <c r="P107" i="4"/>
  <c r="P111" i="4"/>
  <c r="P115" i="4"/>
  <c r="P125" i="4"/>
  <c r="AG7" i="4"/>
  <c r="AG11" i="4"/>
  <c r="AG15" i="4"/>
  <c r="AG23" i="4"/>
  <c r="AG27" i="4"/>
  <c r="AG31" i="4"/>
  <c r="AG35" i="4"/>
  <c r="AG47" i="4"/>
  <c r="AG51" i="4"/>
  <c r="AG55" i="4"/>
  <c r="AG59" i="4"/>
  <c r="AG63" i="4"/>
  <c r="AG71" i="4"/>
  <c r="AG75" i="4"/>
  <c r="AG79" i="4"/>
  <c r="AG83" i="4"/>
  <c r="AG87" i="4"/>
  <c r="AG95" i="4"/>
  <c r="AG99" i="4"/>
  <c r="AG103" i="4"/>
  <c r="AG107" i="4"/>
  <c r="AG115" i="4"/>
  <c r="AG119" i="4"/>
  <c r="AG125" i="4"/>
  <c r="AG19" i="4"/>
  <c r="AG39" i="4"/>
  <c r="AG67" i="4"/>
  <c r="AG91" i="4"/>
  <c r="AG111" i="4"/>
  <c r="AG133" i="4"/>
  <c r="AG43" i="4"/>
  <c r="AG129" i="4"/>
  <c r="AG6" i="4"/>
  <c r="AG18" i="4"/>
  <c r="AG22" i="4"/>
  <c r="AG38" i="4"/>
  <c r="AG50" i="4"/>
  <c r="AG54" i="4"/>
  <c r="AG66" i="4"/>
  <c r="AG70" i="4"/>
  <c r="AG82" i="4"/>
  <c r="AG86" i="4"/>
  <c r="AG98" i="4"/>
  <c r="AG102" i="4"/>
  <c r="AG114" i="4"/>
  <c r="AG118" i="4"/>
  <c r="AG132" i="4"/>
  <c r="AG5" i="4"/>
  <c r="AG9" i="4"/>
  <c r="AG13" i="4"/>
  <c r="AG17" i="4"/>
  <c r="AG21" i="4"/>
  <c r="AG25" i="4"/>
  <c r="AG29" i="4"/>
  <c r="AG33" i="4"/>
  <c r="AG37" i="4"/>
  <c r="AG41" i="4"/>
  <c r="AG45" i="4"/>
  <c r="AG49" i="4"/>
  <c r="AG53" i="4"/>
  <c r="AG57" i="4"/>
  <c r="AG61" i="4"/>
  <c r="AG65" i="4"/>
  <c r="AG69" i="4"/>
  <c r="AG73" i="4"/>
  <c r="AG77" i="4"/>
  <c r="AG81" i="4"/>
  <c r="AG85" i="4"/>
  <c r="AG89" i="4"/>
  <c r="AG93" i="4"/>
  <c r="AG97" i="4"/>
  <c r="AG101" i="4"/>
  <c r="AG105" i="4"/>
  <c r="AG109" i="4"/>
  <c r="AG113" i="4"/>
  <c r="AG117" i="4"/>
  <c r="AG123" i="4"/>
  <c r="AG127" i="4"/>
  <c r="AG131" i="4"/>
  <c r="AG135" i="4"/>
  <c r="AG10" i="4"/>
  <c r="AG14" i="4"/>
  <c r="AG26" i="4"/>
  <c r="AG30" i="4"/>
  <c r="AG42" i="4"/>
  <c r="AG46" i="4"/>
  <c r="AG58" i="4"/>
  <c r="AG62" i="4"/>
  <c r="AG74" i="4"/>
  <c r="AG78" i="4"/>
  <c r="AG90" i="4"/>
  <c r="AG94" i="4"/>
  <c r="AG106" i="4"/>
  <c r="AG110" i="4"/>
  <c r="AG124" i="4"/>
  <c r="AG128" i="4"/>
  <c r="P15" i="4"/>
  <c r="P35" i="4"/>
  <c r="P59" i="4"/>
  <c r="P79" i="4"/>
  <c r="P99" i="4"/>
  <c r="P119" i="4"/>
  <c r="P47" i="4"/>
  <c r="P133" i="4"/>
  <c r="P129" i="4"/>
  <c r="AG8" i="4"/>
  <c r="AG12" i="4"/>
  <c r="AG16" i="4"/>
  <c r="AG20" i="4"/>
  <c r="AG24" i="4"/>
  <c r="AG28" i="4"/>
  <c r="AG32" i="4"/>
  <c r="AG36" i="4"/>
  <c r="AG40" i="4"/>
  <c r="AG44" i="4"/>
  <c r="AG48" i="4"/>
  <c r="AG52" i="4"/>
  <c r="AG56" i="4"/>
  <c r="AG60" i="4"/>
  <c r="AG64" i="4"/>
  <c r="AG68" i="4"/>
  <c r="AG72" i="4"/>
  <c r="AG76" i="4"/>
  <c r="AG80" i="4"/>
  <c r="AG84" i="4"/>
  <c r="AG88" i="4"/>
  <c r="AG92" i="4"/>
  <c r="AG96" i="4"/>
  <c r="AG100" i="4"/>
  <c r="AG104" i="4"/>
  <c r="AG108" i="4"/>
  <c r="AG112" i="4"/>
  <c r="AG116" i="4"/>
  <c r="AG120" i="4"/>
  <c r="AG126" i="4"/>
  <c r="AG130" i="4"/>
  <c r="AG134" i="4"/>
  <c r="P5" i="4"/>
  <c r="P6" i="4"/>
  <c r="P8" i="4"/>
  <c r="P9" i="4"/>
  <c r="P10" i="4"/>
  <c r="P12" i="4"/>
  <c r="P13" i="4"/>
  <c r="P14" i="4"/>
  <c r="P16" i="4"/>
  <c r="P17" i="4"/>
  <c r="P18" i="4"/>
  <c r="P20" i="4"/>
  <c r="P21" i="4"/>
  <c r="P22" i="4"/>
  <c r="P24" i="4"/>
  <c r="P25" i="4"/>
  <c r="P26" i="4"/>
  <c r="P28" i="4"/>
  <c r="P29" i="4"/>
  <c r="P30" i="4"/>
  <c r="P32" i="4"/>
  <c r="P33" i="4"/>
  <c r="P36" i="4"/>
  <c r="P37" i="4"/>
  <c r="P38" i="4"/>
  <c r="P40" i="4"/>
  <c r="P41" i="4"/>
  <c r="P42" i="4"/>
  <c r="P44" i="4"/>
  <c r="P45" i="4"/>
  <c r="P46" i="4"/>
  <c r="P48" i="4"/>
  <c r="P49" i="4"/>
  <c r="P50" i="4"/>
  <c r="P52" i="4"/>
  <c r="P53" i="4"/>
  <c r="P54" i="4"/>
  <c r="P56" i="4"/>
  <c r="P57" i="4"/>
  <c r="P58" i="4"/>
  <c r="P60" i="4"/>
  <c r="P61" i="4"/>
  <c r="P62" i="4"/>
  <c r="P64" i="4"/>
  <c r="P65" i="4"/>
  <c r="P66" i="4"/>
  <c r="P68" i="4"/>
  <c r="P69" i="4"/>
  <c r="P70" i="4"/>
  <c r="P72" i="4"/>
  <c r="P73" i="4"/>
  <c r="P74" i="4"/>
  <c r="P76" i="4"/>
  <c r="P77" i="4"/>
  <c r="P78" i="4"/>
  <c r="P80" i="4"/>
  <c r="P81" i="4"/>
  <c r="P82" i="4"/>
  <c r="P84" i="4"/>
  <c r="P85" i="4"/>
  <c r="P86" i="4"/>
  <c r="P88" i="4"/>
  <c r="P89" i="4"/>
  <c r="P90" i="4"/>
  <c r="P92" i="4"/>
  <c r="P93" i="4"/>
  <c r="P94" i="4"/>
  <c r="P96" i="4"/>
  <c r="P97" i="4"/>
  <c r="P98" i="4"/>
  <c r="P100" i="4"/>
  <c r="P101" i="4"/>
  <c r="P102" i="4"/>
  <c r="P104" i="4"/>
  <c r="P105" i="4"/>
  <c r="P106" i="4"/>
  <c r="P108" i="4"/>
  <c r="P109" i="4"/>
  <c r="P110" i="4"/>
  <c r="P112" i="4"/>
  <c r="P113" i="4"/>
  <c r="P114" i="4"/>
  <c r="P116" i="4"/>
  <c r="P117" i="4"/>
  <c r="P118" i="4"/>
  <c r="P120" i="4"/>
  <c r="P123" i="4"/>
  <c r="P124" i="4"/>
  <c r="P126" i="4"/>
  <c r="P127" i="4"/>
  <c r="P128" i="4"/>
  <c r="P130" i="4"/>
  <c r="P131" i="4"/>
  <c r="P132" i="4"/>
  <c r="P134" i="4"/>
  <c r="P135" i="4"/>
  <c r="B55" i="6" l="1"/>
  <c r="K55" i="6" s="1"/>
  <c r="B84" i="6"/>
  <c r="C84" i="6" s="1"/>
  <c r="L42" i="6"/>
  <c r="C65" i="6"/>
  <c r="M42" i="6"/>
  <c r="C81" i="6"/>
  <c r="J42" i="6"/>
  <c r="C63" i="6"/>
  <c r="I42" i="6"/>
  <c r="H42" i="6"/>
  <c r="D42" i="6"/>
  <c r="C57" i="6"/>
  <c r="E42" i="6"/>
  <c r="C58" i="6"/>
  <c r="F42" i="6"/>
  <c r="C59" i="6"/>
  <c r="C80" i="6"/>
  <c r="AG162" i="4"/>
  <c r="AG158" i="4" l="1"/>
  <c r="AG142" i="4"/>
  <c r="AG174" i="4"/>
  <c r="AG163" i="4"/>
  <c r="AG153" i="4"/>
  <c r="P200" i="4"/>
  <c r="AG193" i="4"/>
  <c r="P174" i="4"/>
  <c r="AG198" i="4"/>
  <c r="P202" i="4"/>
  <c r="AG204" i="4"/>
  <c r="AG194" i="4"/>
  <c r="P198" i="4"/>
  <c r="P158" i="4"/>
  <c r="P153" i="4"/>
  <c r="P197" i="4"/>
  <c r="P194" i="4"/>
  <c r="AG203" i="4"/>
  <c r="P136" i="4"/>
  <c r="AG201" i="4"/>
  <c r="AG157" i="4"/>
  <c r="AG151" i="4"/>
  <c r="AG147" i="4"/>
  <c r="AG146" i="4"/>
  <c r="AG145" i="4"/>
  <c r="AG143" i="4"/>
  <c r="P187" i="4"/>
  <c r="P190" i="4"/>
  <c r="AG169" i="4"/>
  <c r="AG177" i="4"/>
  <c r="AG170" i="4"/>
  <c r="AG188" i="4"/>
  <c r="AG181" i="4"/>
  <c r="AG176" i="4"/>
  <c r="AG173" i="4"/>
  <c r="AG186" i="4"/>
  <c r="P149" i="4"/>
  <c r="AG155" i="4"/>
  <c r="P172" i="4"/>
  <c r="AG185" i="4"/>
  <c r="P169" i="4"/>
  <c r="P183" i="4"/>
  <c r="P180" i="4"/>
  <c r="P178" i="4"/>
  <c r="AG205" i="4"/>
  <c r="AG199" i="4"/>
  <c r="P145" i="4"/>
  <c r="P163" i="4"/>
  <c r="P154" i="4"/>
  <c r="AG159" i="4"/>
  <c r="AG154" i="4"/>
  <c r="P191" i="4"/>
  <c r="P199" i="4"/>
  <c r="AG182" i="4"/>
  <c r="AG172" i="4"/>
  <c r="P196" i="4"/>
  <c r="AG180" i="4"/>
  <c r="AG175" i="4"/>
  <c r="AG192" i="4"/>
  <c r="AG187" i="4"/>
  <c r="P152" i="4"/>
  <c r="P157" i="4"/>
  <c r="P161" i="4"/>
  <c r="P142" i="4"/>
  <c r="P203" i="4"/>
  <c r="AG189" i="4"/>
  <c r="P195" i="4"/>
  <c r="AG195" i="4"/>
  <c r="AG179" i="4"/>
  <c r="AG184" i="4"/>
  <c r="P176" i="4"/>
  <c r="AG196" i="4"/>
  <c r="AG197" i="4"/>
  <c r="AG202" i="4"/>
  <c r="P160" i="4"/>
  <c r="P143" i="4"/>
  <c r="AG149" i="4"/>
  <c r="P150" i="4"/>
  <c r="P139" i="4"/>
  <c r="P173" i="4"/>
  <c r="P168" i="4"/>
  <c r="P165" i="4"/>
  <c r="P205" i="4"/>
  <c r="AG190" i="4"/>
  <c r="P144" i="4"/>
  <c r="P155" i="4"/>
  <c r="P146" i="4"/>
  <c r="P148" i="4"/>
  <c r="AG160" i="4"/>
  <c r="AG156" i="4"/>
  <c r="AG152" i="4"/>
  <c r="AG144" i="4"/>
  <c r="P171" i="4"/>
  <c r="AG139" i="4"/>
  <c r="P186" i="4"/>
  <c r="P177" i="4"/>
  <c r="P181" i="4"/>
  <c r="P193" i="4"/>
  <c r="AG168" i="4"/>
  <c r="AG165" i="4"/>
  <c r="P192" i="4"/>
  <c r="P175" i="4"/>
  <c r="P156" i="4"/>
  <c r="P151" i="4"/>
  <c r="P159" i="4"/>
  <c r="AG150" i="4"/>
  <c r="AG141" i="4"/>
  <c r="P140" i="4"/>
  <c r="P138" i="4"/>
  <c r="P137" i="4"/>
  <c r="P182" i="4"/>
  <c r="P189" i="4"/>
  <c r="P204" i="4"/>
  <c r="P170" i="4"/>
  <c r="P167" i="4"/>
  <c r="P164" i="4"/>
  <c r="P188" i="4"/>
  <c r="AG191" i="4"/>
  <c r="P147" i="4"/>
  <c r="P162" i="4"/>
  <c r="AG161" i="4"/>
  <c r="AG148" i="4"/>
  <c r="AG136" i="4"/>
  <c r="AG140" i="4"/>
  <c r="AG138" i="4"/>
  <c r="AG137" i="4"/>
  <c r="P179" i="4"/>
  <c r="P141" i="4"/>
  <c r="P185" i="4"/>
  <c r="AG167" i="4"/>
  <c r="AG164" i="4"/>
  <c r="P184" i="4"/>
  <c r="P201" i="4"/>
  <c r="AG183" i="4"/>
  <c r="AG171" i="4"/>
  <c r="C50" i="6" l="1"/>
  <c r="B75" i="6" s="1"/>
  <c r="C75" i="6" s="1"/>
  <c r="AG178" i="4"/>
  <c r="AG200" i="4"/>
  <c r="D50" i="6"/>
  <c r="B76" i="6" s="1"/>
  <c r="C76" i="6" s="1"/>
  <c r="F50" i="6"/>
  <c r="B78" i="6" s="1"/>
  <c r="C78" i="6" s="1"/>
  <c r="G50" i="6" l="1"/>
  <c r="B79" i="6" s="1"/>
  <c r="E50" i="6"/>
  <c r="B77" i="6" s="1"/>
  <c r="C77" i="6" s="1"/>
  <c r="O47" i="6"/>
  <c r="C79" i="6" l="1"/>
  <c r="B50" i="6"/>
  <c r="AG4" i="4"/>
  <c r="B74" i="6" l="1"/>
  <c r="C74" i="6" l="1"/>
  <c r="M206" i="4" l="1"/>
  <c r="P34" i="4"/>
  <c r="AD206" i="4"/>
  <c r="K35" i="6" s="1"/>
  <c r="AG34" i="4"/>
  <c r="B64" i="6" l="1"/>
  <c r="K50" i="6"/>
  <c r="B67" i="6"/>
  <c r="B68" i="6" s="1"/>
  <c r="K64" i="6"/>
  <c r="K67" i="6" s="1"/>
  <c r="K41" i="6"/>
  <c r="C64" i="6" s="1"/>
  <c r="N50" i="6" l="1"/>
  <c r="O50" i="6" s="1"/>
  <c r="B83" i="6"/>
  <c r="C83" i="6" s="1"/>
  <c r="K42" i="6"/>
  <c r="N42" i="6" s="1"/>
  <c r="N41" i="6"/>
  <c r="B86" i="6" l="1"/>
  <c r="C86" i="6" l="1"/>
  <c r="B87" i="6"/>
</calcChain>
</file>

<file path=xl/sharedStrings.xml><?xml version="1.0" encoding="utf-8"?>
<sst xmlns="http://schemas.openxmlformats.org/spreadsheetml/2006/main" count="1247" uniqueCount="262">
  <si>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</si>
  <si>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</si>
  <si>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</si>
  <si>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</si>
  <si>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</si>
  <si>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</si>
  <si>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</si>
  <si>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</si>
  <si>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</si>
  <si>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</si>
  <si>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</si>
  <si>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</si>
  <si>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Mantenimiento</t>
  </si>
  <si>
    <t>Cordoba</t>
  </si>
  <si>
    <t>Miguel Ortiz</t>
  </si>
  <si>
    <t>Lucia Fagunde</t>
  </si>
  <si>
    <t>Zulma Garay</t>
  </si>
  <si>
    <t>Valeria Ortiz</t>
  </si>
  <si>
    <t>Jonathan</t>
  </si>
  <si>
    <t>Limpieza</t>
  </si>
  <si>
    <t>Agustin</t>
  </si>
  <si>
    <t>Eduardo Medina</t>
  </si>
  <si>
    <t>Marcos</t>
  </si>
  <si>
    <t>Luis Rodriguez</t>
  </si>
  <si>
    <t>Leandro Rodriguez</t>
  </si>
  <si>
    <t>Seguridad</t>
  </si>
  <si>
    <t>Sueldos</t>
  </si>
  <si>
    <t>Total</t>
  </si>
  <si>
    <t xml:space="preserve"> </t>
  </si>
  <si>
    <t>Remis</t>
  </si>
  <si>
    <t>Lavadero</t>
  </si>
  <si>
    <t>Otros</t>
  </si>
  <si>
    <t>Patio de Comida</t>
  </si>
  <si>
    <t>Elias</t>
  </si>
  <si>
    <t>Gastos Ad</t>
  </si>
  <si>
    <t>C E</t>
  </si>
  <si>
    <t>Resumen de Gastos</t>
  </si>
  <si>
    <t>Publicidad</t>
  </si>
  <si>
    <t>Vehiculos</t>
  </si>
  <si>
    <t>Gastos extraord</t>
  </si>
  <si>
    <t>Impuestos</t>
  </si>
  <si>
    <t>Otros Gastos</t>
  </si>
  <si>
    <t>Internet</t>
  </si>
  <si>
    <t>Agua</t>
  </si>
  <si>
    <t>Luz</t>
  </si>
  <si>
    <t>Alq</t>
  </si>
  <si>
    <t>Oficina</t>
  </si>
  <si>
    <t>Costos Estructura</t>
  </si>
  <si>
    <t>Kiosko</t>
  </si>
  <si>
    <t>Isla</t>
  </si>
  <si>
    <t>Local</t>
  </si>
  <si>
    <t>Puestos</t>
  </si>
  <si>
    <t>TOTAL</t>
  </si>
  <si>
    <t>LOCATARIO</t>
  </si>
  <si>
    <t>NRO</t>
  </si>
  <si>
    <t>CONCEPTO</t>
  </si>
  <si>
    <t>SALDO</t>
  </si>
  <si>
    <t>RECAUDADO</t>
  </si>
  <si>
    <t>PROYECTADO</t>
  </si>
  <si>
    <t>AREA</t>
  </si>
  <si>
    <t>PERSONAL</t>
  </si>
  <si>
    <t>MODALIDAD</t>
  </si>
  <si>
    <t>Quincenal</t>
  </si>
  <si>
    <t>ene-01</t>
  </si>
  <si>
    <t>ene-02</t>
  </si>
  <si>
    <t>feb-01</t>
  </si>
  <si>
    <t>feb-02</t>
  </si>
  <si>
    <t>mar-01</t>
  </si>
  <si>
    <t>mar-02</t>
  </si>
  <si>
    <t>abr-01</t>
  </si>
  <si>
    <t>abr-02</t>
  </si>
  <si>
    <t>may-01</t>
  </si>
  <si>
    <t>may-02</t>
  </si>
  <si>
    <t>jun-01</t>
  </si>
  <si>
    <t>jun-02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</si>
  <si>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</si>
  <si>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</si>
  <si>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</si>
  <si>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</si>
  <si>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</si>
  <si>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</si>
  <si>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</si>
  <si>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</si>
  <si>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</si>
  <si>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</si>
  <si>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</si>
  <si>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</si>
  <si>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jul-01</t>
  </si>
  <si>
    <t>jul-02</t>
  </si>
  <si>
    <t>ago-01</t>
  </si>
  <si>
    <t>ago-02</t>
  </si>
  <si>
    <t>sept-01</t>
  </si>
  <si>
    <t>sept-02</t>
  </si>
  <si>
    <t>oct-01</t>
  </si>
  <si>
    <t>oct-02</t>
  </si>
  <si>
    <t>nov-01</t>
  </si>
  <si>
    <t>nov-02</t>
  </si>
  <si>
    <t>dic-01</t>
  </si>
  <si>
    <t>dic-02</t>
  </si>
  <si>
    <t>SEGURIDAD</t>
  </si>
  <si>
    <t>LIMPIEZA</t>
  </si>
  <si>
    <t>AGUINALDO</t>
  </si>
  <si>
    <t>ADMINISTRACION</t>
  </si>
  <si>
    <t>Valentino Casares</t>
  </si>
  <si>
    <t>Ezequiel Casares</t>
  </si>
  <si>
    <t>Alejandro Casares</t>
  </si>
  <si>
    <t>Francisco Casares</t>
  </si>
  <si>
    <t>Elias Ramírez</t>
  </si>
  <si>
    <t>TOTAL FUNCIONARIO</t>
  </si>
  <si>
    <t>Hector Agüero</t>
  </si>
  <si>
    <t>MANTENIMIENTO</t>
  </si>
  <si>
    <t>Diario</t>
  </si>
  <si>
    <t>117B</t>
  </si>
  <si>
    <t>030B</t>
  </si>
  <si>
    <t>117C</t>
  </si>
  <si>
    <t>INGRESOS SEMANALES</t>
  </si>
  <si>
    <t>MES</t>
  </si>
  <si>
    <t>PROMEDIO</t>
  </si>
  <si>
    <t>Semana 1</t>
  </si>
  <si>
    <t>Semana 2</t>
  </si>
  <si>
    <t>Semana 3</t>
  </si>
  <si>
    <t>Semana 4</t>
  </si>
  <si>
    <t>Semana 5</t>
  </si>
  <si>
    <t>MONTO</t>
  </si>
  <si>
    <t>TOTAL MES</t>
  </si>
  <si>
    <t>RECAUDACIONES MENSUALES</t>
  </si>
  <si>
    <t>PROYECCIONES MENSUALES</t>
  </si>
  <si>
    <t>% DE MOROSIDAD</t>
  </si>
  <si>
    <t>GASTOS MENSUALES</t>
  </si>
  <si>
    <t>GANANCIAS MENSUALES</t>
  </si>
  <si>
    <t>Administracion</t>
  </si>
  <si>
    <t>Camargo Delia</t>
  </si>
  <si>
    <t>Hernan Nielsen</t>
  </si>
  <si>
    <t>Andrea</t>
  </si>
  <si>
    <t>Huber Ursula</t>
  </si>
  <si>
    <t>Ruiz Dia Paola</t>
  </si>
  <si>
    <t>Chuchi</t>
  </si>
  <si>
    <t>Fabiana</t>
  </si>
  <si>
    <t>Yilda Franco</t>
  </si>
  <si>
    <t>Riveros Mabel</t>
  </si>
  <si>
    <t>China</t>
  </si>
  <si>
    <t>Agurto Luis</t>
  </si>
  <si>
    <t>Becker Sergio</t>
  </si>
  <si>
    <t>Fernando</t>
  </si>
  <si>
    <t>Paniagua Cristian</t>
  </si>
  <si>
    <t>Becker Matias</t>
  </si>
  <si>
    <t>Da Costa Gaston</t>
  </si>
  <si>
    <t>Busquetti Agustin</t>
  </si>
  <si>
    <t>Burgos Federico</t>
  </si>
  <si>
    <t>Cabral Maricris</t>
  </si>
  <si>
    <t>Paniagua Lucia</t>
  </si>
  <si>
    <t>Lezcano Yoana</t>
  </si>
  <si>
    <t>Garcia Lucio</t>
  </si>
  <si>
    <t>Benitez Evelin</t>
  </si>
  <si>
    <t>Ramirez Ricardo</t>
  </si>
  <si>
    <t>Benitez Ariel</t>
  </si>
  <si>
    <t>Da Silva Raquel</t>
  </si>
  <si>
    <t>Becker Camila</t>
  </si>
  <si>
    <t>Horlle Patricia</t>
  </si>
  <si>
    <t>Eduardo Arguello</t>
  </si>
  <si>
    <t>Melgarejo Lorena</t>
  </si>
  <si>
    <t>De Olivera</t>
  </si>
  <si>
    <t>Soto Benitez</t>
  </si>
  <si>
    <t>Carina Ruiz Dias</t>
  </si>
  <si>
    <t>Amestoy Miguel</t>
  </si>
  <si>
    <t>Rosalina Paniagua</t>
  </si>
  <si>
    <t>Ferreira Isabella</t>
  </si>
  <si>
    <t>Maiadana Norberto</t>
  </si>
  <si>
    <t>Osmar Gonzales</t>
  </si>
  <si>
    <t>Ruben Camargo</t>
  </si>
  <si>
    <t>Cabrera Milka</t>
  </si>
  <si>
    <t>Rodiguez Jesica</t>
  </si>
  <si>
    <t>Fernandez Hector</t>
  </si>
  <si>
    <t>Medina Agustina</t>
  </si>
  <si>
    <t>Samir</t>
  </si>
  <si>
    <t>Ale Dovi</t>
  </si>
  <si>
    <t>Paniagua Gustavo</t>
  </si>
  <si>
    <t>Somann Mary</t>
  </si>
  <si>
    <t>Julio Cabral</t>
  </si>
  <si>
    <t>Palaguerra Sergio</t>
  </si>
  <si>
    <t>Pinto Yanina</t>
  </si>
  <si>
    <t>Perez Alejandro</t>
  </si>
  <si>
    <t>Ferreteria</t>
  </si>
  <si>
    <t>Benitez Margarita</t>
  </si>
  <si>
    <t>Meza Julia</t>
  </si>
  <si>
    <t>Abdou</t>
  </si>
  <si>
    <t>Paniagua Zunilda</t>
  </si>
  <si>
    <t>Samir Accesorios</t>
  </si>
  <si>
    <t>Fleitas Lorena</t>
  </si>
  <si>
    <t>Gonzales Daniel</t>
  </si>
  <si>
    <t>Pupi</t>
  </si>
  <si>
    <t>Los Amigos</t>
  </si>
  <si>
    <t>Cintia Sosa</t>
  </si>
  <si>
    <t xml:space="preserve">Limpieza </t>
  </si>
  <si>
    <t xml:space="preserve">JUNIO </t>
  </si>
  <si>
    <t>Saldo</t>
  </si>
  <si>
    <t xml:space="preserve">     </t>
  </si>
  <si>
    <t>Recaudacion</t>
  </si>
  <si>
    <t>Gastos</t>
  </si>
  <si>
    <t>Gastos/Fact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</si>
  <si>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</si>
  <si>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</si>
  <si>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</si>
  <si>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</si>
  <si>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</si>
  <si>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</si>
  <si>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</si>
  <si>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</si>
  <si>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</si>
  <si>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</si>
  <si>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</si>
  <si>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</si>
  <si>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</si>
  <si>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Promedio mens</t>
  </si>
  <si>
    <t>Ganancias</t>
  </si>
  <si>
    <t>Util/fact</t>
  </si>
  <si>
    <t xml:space="preserve">MAYO </t>
  </si>
  <si>
    <t xml:space="preserve">JULIO </t>
  </si>
  <si>
    <t>Benitez nestor</t>
  </si>
  <si>
    <t>Palaguerra fernando</t>
  </si>
  <si>
    <t xml:space="preserve">Morinigo francisco </t>
  </si>
  <si>
    <t xml:space="preserve">Pinto Pamela </t>
  </si>
  <si>
    <t xml:space="preserve">Carla Sanaabria </t>
  </si>
  <si>
    <t>Fernandez Marcela Beatriz</t>
  </si>
  <si>
    <t xml:space="preserve">Fernandez Marcela Beatriz </t>
  </si>
  <si>
    <t>Penayo Mariela</t>
  </si>
  <si>
    <t>Zapf Rita</t>
  </si>
  <si>
    <t xml:space="preserve">Zapf Rita </t>
  </si>
  <si>
    <t>Penayo Gabriela</t>
  </si>
  <si>
    <t>Cazapava Yolanda</t>
  </si>
  <si>
    <t>Toledo Iris Insolina</t>
  </si>
  <si>
    <t>Spisak Gabriela</t>
  </si>
  <si>
    <t>Benitez Roberto</t>
  </si>
  <si>
    <t>Palaguerra Fernando</t>
  </si>
  <si>
    <t>Paniagua Ramon</t>
  </si>
  <si>
    <t>Pinto Pamela</t>
  </si>
  <si>
    <t>jacquet Alicia</t>
  </si>
  <si>
    <t>Salazar rocio</t>
  </si>
  <si>
    <t>ALMUERZOS</t>
  </si>
  <si>
    <t>OFICINA</t>
  </si>
  <si>
    <t>VEHICULOS</t>
  </si>
  <si>
    <t>IMP.</t>
  </si>
  <si>
    <t>GASTOS EXTRAORDIANRIOS</t>
  </si>
  <si>
    <t>SEGURIDA Y MANTENIMIENTO</t>
  </si>
  <si>
    <t>GASTOS MANTENIMIENTO</t>
  </si>
  <si>
    <t>FERRETERIA</t>
  </si>
  <si>
    <t>FRANCISCO</t>
  </si>
  <si>
    <t>EZEQUIEL</t>
  </si>
  <si>
    <t>ALEJANDRO</t>
  </si>
  <si>
    <t>CORDOBA</t>
  </si>
  <si>
    <t>ELIAS</t>
  </si>
  <si>
    <t>RICARDO</t>
  </si>
  <si>
    <t>FABIAN</t>
  </si>
  <si>
    <t>LUCAS</t>
  </si>
  <si>
    <t>PEDRO</t>
  </si>
  <si>
    <t>MARCELO</t>
  </si>
  <si>
    <t>TAMARA</t>
  </si>
  <si>
    <t>LUCIA</t>
  </si>
  <si>
    <t>VALERIA</t>
  </si>
  <si>
    <t>ZULMA</t>
  </si>
  <si>
    <t xml:space="preserve">HECTOR </t>
  </si>
  <si>
    <t xml:space="preserve">jacquet alicia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</si>
</sst>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_ &quot;₲&quot;\ * #,##0_ ;_ &quot;₲&quot;\ * \-#,##0_ ;_ &quot;₲&quot;\ * &quot;-&quot;_ ;_ @_ "/>
    <numFmt numFmtId="166" formatCode="_-* #,##0_-;\-* #,##0_-;_-* &quot;-&quot;??_-;_-@"/>
    <numFmt numFmtId="167" formatCode="_-* #,##0\ _€_-;\-* #,##0\ _€_-;_-* &quot;-&quot;??\ _€_-;_-@"/>
    <numFmt numFmtId="168" formatCode="000"/>
    <numFmt numFmtId="169" formatCode="[$$-2C0A]\ #,##0"/>
    <numFmt numFmtId="170" formatCode="d/m/yy;@"/>
    <numFmt numFmtId="171" formatCode="dd/mm/yy;@"/>
    <numFmt numFmtId="172" formatCode="_-[$$-2C0A]\ * #,##0_-;\-[$$-2C0A]\ * #,##0_-;_-[$$-2C0A]\ * &quot;-&quot;_-;_-@_-"/>
    <numFmt numFmtId="173" formatCode="[$$-2C0A]\ #,##0;\-[$$-2C0A]\ #,##0"/>
    <numFmt numFmtId="174" formatCode="_-* #,##0\ _€_-;\-* #,##0\ _€_-;_-* &quot;-&quot;??\ _€_-;_-@_-"/>
    <numFmt numFmtId="175" formatCode="_-[$$-1004]* #,##0.00_ ;_-[$$-1004]* \-#,##0.00\ ;_-[$$-1004]* &quot;-&quot;??_ ;_-@_ "/>
    <numFmt numFmtId="176" formatCode="_ [$$-2C0A]\ * #,##0.00_ ;_ [$$-2C0A]\ * \-#,##0.00_ ;_ [$$-2C0A]\ * &quot;-&quot;??_ ;_ @_ "/>
    <numFmt numFmtId="177" formatCode="[$$-45C]#,##0.00"/>
    <numFmt numFmtId="178" formatCode="_-[$$-2C0A]\ * #,##0.00_-;\-[$$-2C0A]\ * #,##0.00_-;_-[$$-2C0A]\ * &quot;-&quot;??_-;_-@_-"/>
    <numFmt numFmtId="179" formatCode="&quot;$&quot;\ #,##0.00"/>
    <numFmt numFmtId="180" formatCode="_-&quot;$&quot;\ * #,##0_-;\-&quot;$&quot;\ * #,##0_-;_-&quot;$&quot;\ * &quot;-&quot;??_-;_-@_-"/>
  </numFmts>
  <fonts count="4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9C0006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9C650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sz val="16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  <bgColor indexed="64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BD4B4"/>
      </patternFill>
    </fill>
    <fill>
      <patternFill patternType="solid">
        <fgColor theme="4" tint="0.39997558519241921"/>
        <bgColor indexed="64"/>
      </patternFill>
    </fill>
  </fills>
  <borders count="74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5"/>
      </left>
      <right style="thin">
        <color theme="5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26" fillId="0" borderId="0" applyFont="0" applyFill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20" fillId="0" borderId="0"/>
    <xf numFmtId="9" fontId="38" fillId="0" borderId="0" applyFont="0" applyFill="0" applyBorder="0" applyAlignment="0" applyProtection="0"/>
    <xf numFmtId="0" fontId="38" fillId="7" borderId="26" applyNumberFormat="0" applyFont="0" applyAlignment="0" applyProtection="0"/>
    <xf numFmtId="0" fontId="29" fillId="8" borderId="0" applyNumberFormat="0" applyBorder="0" applyAlignment="0" applyProtection="0"/>
    <xf numFmtId="0" fontId="29" fillId="10" borderId="0" applyNumberFormat="0" applyBorder="0" applyAlignment="0" applyProtection="0"/>
    <xf numFmtId="164" fontId="43" fillId="0" borderId="0" applyFont="0" applyFill="0" applyBorder="0" applyAlignment="0" applyProtection="0"/>
    <xf numFmtId="44" fontId="45" fillId="0" borderId="0" applyFont="0" applyFill="0" applyBorder="0" applyAlignment="0" applyProtection="0"/>
  </cellStyleXfs>
  <cellXfs count="481">
    <xf numFmtId="0" fontId="0" fillId="0" borderId="0" xfId="0"/>
    <xf numFmtId="0" fontId="0" fillId="0" borderId="0" xfId="0" applyFont="1" applyAlignment="1"/>
    <xf numFmtId="0" fontId="21" fillId="0" borderId="1" xfId="0" applyFont="1" applyBorder="1"/>
    <xf numFmtId="0" fontId="21" fillId="0" borderId="3" xfId="0" applyFont="1" applyBorder="1"/>
    <xf numFmtId="0" fontId="21" fillId="0" borderId="13" xfId="0" applyFont="1" applyBorder="1"/>
    <xf numFmtId="0" fontId="21" fillId="0" borderId="14" xfId="0" applyFont="1" applyBorder="1"/>
    <xf numFmtId="167" fontId="21" fillId="0" borderId="6" xfId="0" applyNumberFormat="1" applyFont="1" applyBorder="1"/>
    <xf numFmtId="167" fontId="21" fillId="0" borderId="7" xfId="0" applyNumberFormat="1" applyFont="1" applyBorder="1"/>
    <xf numFmtId="167" fontId="21" fillId="0" borderId="12" xfId="0" applyNumberFormat="1" applyFont="1" applyBorder="1"/>
    <xf numFmtId="167" fontId="21" fillId="0" borderId="8" xfId="0" applyNumberFormat="1" applyFont="1" applyBorder="1"/>
    <xf numFmtId="0" fontId="21" fillId="0" borderId="0" xfId="0" applyFont="1"/>
    <xf numFmtId="0" fontId="21" fillId="0" borderId="17" xfId="0" applyFont="1" applyBorder="1"/>
    <xf numFmtId="0" fontId="21" fillId="0" borderId="9" xfId="0" applyFont="1" applyBorder="1"/>
    <xf numFmtId="0" fontId="21" fillId="0" borderId="15" xfId="0" applyFont="1" applyBorder="1"/>
    <xf numFmtId="167" fontId="21" fillId="0" borderId="16" xfId="0" applyNumberFormat="1" applyFont="1" applyBorder="1"/>
    <xf numFmtId="167" fontId="21" fillId="0" borderId="1" xfId="0" applyNumberFormat="1" applyFont="1" applyBorder="1"/>
    <xf numFmtId="167" fontId="21" fillId="0" borderId="2" xfId="0" applyNumberFormat="1" applyFont="1" applyBorder="1"/>
    <xf numFmtId="0" fontId="21" fillId="0" borderId="18" xfId="0" applyFont="1" applyBorder="1"/>
    <xf numFmtId="167" fontId="21" fillId="0" borderId="13" xfId="0" applyNumberFormat="1" applyFont="1" applyBorder="1"/>
    <xf numFmtId="167" fontId="21" fillId="0" borderId="14" xfId="0" applyNumberFormat="1" applyFont="1" applyBorder="1"/>
    <xf numFmtId="0" fontId="21" fillId="0" borderId="2" xfId="0" applyFont="1" applyBorder="1"/>
    <xf numFmtId="167" fontId="21" fillId="0" borderId="18" xfId="0" applyNumberFormat="1" applyFont="1" applyBorder="1"/>
    <xf numFmtId="167" fontId="21" fillId="0" borderId="3" xfId="0" applyNumberFormat="1" applyFont="1" applyBorder="1"/>
    <xf numFmtId="0" fontId="21" fillId="0" borderId="4" xfId="0" applyFont="1" applyBorder="1"/>
    <xf numFmtId="167" fontId="21" fillId="0" borderId="9" xfId="0" applyNumberFormat="1" applyFont="1" applyBorder="1"/>
    <xf numFmtId="167" fontId="21" fillId="0" borderId="10" xfId="0" applyNumberFormat="1" applyFont="1" applyBorder="1"/>
    <xf numFmtId="0" fontId="21" fillId="0" borderId="6" xfId="0" applyFont="1" applyBorder="1"/>
    <xf numFmtId="167" fontId="21" fillId="0" borderId="19" xfId="0" applyNumberFormat="1" applyFont="1" applyBorder="1" applyAlignment="1">
      <alignment horizontal="right"/>
    </xf>
    <xf numFmtId="167" fontId="21" fillId="0" borderId="11" xfId="0" applyNumberFormat="1" applyFont="1" applyBorder="1"/>
    <xf numFmtId="0" fontId="21" fillId="2" borderId="6" xfId="0" applyFont="1" applyFill="1" applyBorder="1"/>
    <xf numFmtId="167" fontId="21" fillId="2" borderId="6" xfId="0" applyNumberFormat="1" applyFont="1" applyFill="1" applyBorder="1"/>
    <xf numFmtId="0" fontId="21" fillId="0" borderId="20" xfId="0" applyFont="1" applyBorder="1"/>
    <xf numFmtId="0" fontId="21" fillId="0" borderId="21" xfId="0" applyFont="1" applyBorder="1"/>
    <xf numFmtId="167" fontId="21" fillId="0" borderId="21" xfId="0" applyNumberFormat="1" applyFont="1" applyBorder="1"/>
    <xf numFmtId="167" fontId="21" fillId="0" borderId="22" xfId="0" applyNumberFormat="1" applyFont="1" applyBorder="1"/>
    <xf numFmtId="0" fontId="20" fillId="0" borderId="0" xfId="5" applyFont="1" applyAlignment="1"/>
    <xf numFmtId="168" fontId="20" fillId="0" borderId="0" xfId="5" applyNumberFormat="1" applyFont="1" applyAlignment="1">
      <alignment horizontal="center"/>
    </xf>
    <xf numFmtId="0" fontId="20" fillId="0" borderId="0" xfId="5" applyFont="1" applyAlignment="1">
      <alignment horizontal="left"/>
    </xf>
    <xf numFmtId="0" fontId="20" fillId="0" borderId="0" xfId="5" applyFont="1" applyAlignment="1">
      <alignment horizontal="center"/>
    </xf>
    <xf numFmtId="169" fontId="20" fillId="0" borderId="0" xfId="1" applyNumberFormat="1" applyFont="1" applyAlignment="1">
      <alignment horizontal="center"/>
    </xf>
    <xf numFmtId="169" fontId="20" fillId="0" borderId="0" xfId="1" applyNumberFormat="1" applyFont="1" applyAlignment="1"/>
    <xf numFmtId="169" fontId="27" fillId="3" borderId="0" xfId="2" applyNumberFormat="1" applyAlignment="1">
      <alignment horizontal="center"/>
    </xf>
    <xf numFmtId="169" fontId="27" fillId="3" borderId="0" xfId="2" applyNumberFormat="1" applyAlignment="1"/>
    <xf numFmtId="169" fontId="20" fillId="0" borderId="0" xfId="1" applyNumberFormat="1" applyFont="1" applyAlignment="1">
      <alignment horizontal="left"/>
    </xf>
    <xf numFmtId="0" fontId="28" fillId="4" borderId="0" xfId="3" applyAlignment="1">
      <alignment horizontal="center"/>
    </xf>
    <xf numFmtId="0" fontId="28" fillId="4" borderId="0" xfId="3" applyAlignment="1"/>
    <xf numFmtId="0" fontId="33" fillId="0" borderId="0" xfId="5" applyFont="1" applyAlignment="1">
      <alignment horizontal="center"/>
    </xf>
    <xf numFmtId="168" fontId="33" fillId="0" borderId="0" xfId="5" applyNumberFormat="1" applyFont="1" applyAlignment="1">
      <alignment horizontal="center"/>
    </xf>
    <xf numFmtId="0" fontId="33" fillId="0" borderId="0" xfId="5" applyFont="1" applyAlignment="1">
      <alignment horizontal="left"/>
    </xf>
    <xf numFmtId="0" fontId="33" fillId="0" borderId="0" xfId="5" applyFont="1" applyAlignment="1"/>
    <xf numFmtId="169" fontId="33" fillId="0" borderId="0" xfId="1" applyNumberFormat="1" applyFont="1" applyAlignment="1"/>
    <xf numFmtId="0" fontId="34" fillId="5" borderId="0" xfId="4" applyFont="1" applyAlignment="1">
      <alignment horizontal="center"/>
    </xf>
    <xf numFmtId="0" fontId="34" fillId="5" borderId="0" xfId="4" applyFont="1" applyAlignment="1"/>
    <xf numFmtId="169" fontId="33" fillId="0" borderId="0" xfId="1" applyNumberFormat="1" applyFont="1" applyFill="1" applyAlignment="1"/>
    <xf numFmtId="169" fontId="19" fillId="0" borderId="0" xfId="1" applyNumberFormat="1" applyFont="1" applyAlignment="1">
      <alignment horizontal="center"/>
    </xf>
    <xf numFmtId="0" fontId="19" fillId="0" borderId="0" xfId="0" applyFont="1"/>
    <xf numFmtId="169" fontId="35" fillId="0" borderId="0" xfId="1" applyNumberFormat="1" applyFont="1" applyBorder="1" applyAlignment="1">
      <alignment horizontal="center"/>
    </xf>
    <xf numFmtId="0" fontId="19" fillId="0" borderId="0" xfId="0" applyFont="1" applyBorder="1"/>
    <xf numFmtId="17" fontId="35" fillId="0" borderId="0" xfId="0" applyNumberFormat="1" applyFont="1"/>
    <xf numFmtId="0" fontId="28" fillId="4" borderId="0" xfId="3"/>
    <xf numFmtId="17" fontId="35" fillId="0" borderId="23" xfId="0" applyNumberFormat="1" applyFont="1" applyBorder="1"/>
    <xf numFmtId="17" fontId="35" fillId="0" borderId="24" xfId="0" applyNumberFormat="1" applyFont="1" applyBorder="1"/>
    <xf numFmtId="169" fontId="19" fillId="0" borderId="0" xfId="0" applyNumberFormat="1" applyFont="1"/>
    <xf numFmtId="169" fontId="0" fillId="0" borderId="24" xfId="0" applyNumberFormat="1" applyBorder="1"/>
    <xf numFmtId="169" fontId="0" fillId="0" borderId="23" xfId="0" applyNumberFormat="1" applyBorder="1"/>
    <xf numFmtId="169" fontId="28" fillId="4" borderId="0" xfId="3" applyNumberFormat="1"/>
    <xf numFmtId="169" fontId="0" fillId="0" borderId="0" xfId="0" applyNumberFormat="1"/>
    <xf numFmtId="169" fontId="19" fillId="0" borderId="0" xfId="0" applyNumberFormat="1" applyFont="1" applyBorder="1"/>
    <xf numFmtId="169" fontId="0" fillId="0" borderId="0" xfId="0" applyNumberFormat="1" applyBorder="1"/>
    <xf numFmtId="169" fontId="21" fillId="0" borderId="0" xfId="0" applyNumberFormat="1" applyFont="1" applyBorder="1"/>
    <xf numFmtId="0" fontId="28" fillId="4" borderId="0" xfId="3" applyAlignment="1">
      <alignment horizontal="left"/>
    </xf>
    <xf numFmtId="0" fontId="36" fillId="4" borderId="0" xfId="3" applyFont="1" applyAlignment="1">
      <alignment horizontal="right"/>
    </xf>
    <xf numFmtId="0" fontId="36" fillId="4" borderId="0" xfId="3" applyFont="1"/>
    <xf numFmtId="0" fontId="37" fillId="0" borderId="0" xfId="0" applyFont="1"/>
    <xf numFmtId="169" fontId="35" fillId="0" borderId="25" xfId="1" applyNumberFormat="1" applyFont="1" applyBorder="1" applyAlignment="1">
      <alignment horizontal="center"/>
    </xf>
    <xf numFmtId="166" fontId="21" fillId="0" borderId="0" xfId="0" applyNumberFormat="1" applyFont="1" applyBorder="1"/>
    <xf numFmtId="169" fontId="0" fillId="0" borderId="0" xfId="1" applyNumberFormat="1" applyFont="1" applyAlignment="1"/>
    <xf numFmtId="168" fontId="18" fillId="0" borderId="0" xfId="5" applyNumberFormat="1" applyFont="1" applyAlignment="1">
      <alignment horizontal="center"/>
    </xf>
    <xf numFmtId="0" fontId="18" fillId="0" borderId="0" xfId="5" applyFont="1" applyAlignment="1">
      <alignment horizontal="left"/>
    </xf>
    <xf numFmtId="0" fontId="34" fillId="5" borderId="0" xfId="4" applyNumberFormat="1" applyFont="1" applyAlignment="1"/>
    <xf numFmtId="0" fontId="28" fillId="4" borderId="0" xfId="3" applyNumberFormat="1" applyAlignment="1"/>
    <xf numFmtId="0" fontId="18" fillId="0" borderId="0" xfId="0" applyFont="1"/>
    <xf numFmtId="170" fontId="0" fillId="0" borderId="0" xfId="0" applyNumberFormat="1"/>
    <xf numFmtId="171" fontId="0" fillId="0" borderId="0" xfId="0" applyNumberFormat="1"/>
    <xf numFmtId="171" fontId="0" fillId="0" borderId="28" xfId="0" applyNumberFormat="1" applyBorder="1"/>
    <xf numFmtId="171" fontId="0" fillId="11" borderId="28" xfId="0" applyNumberFormat="1" applyFill="1" applyBorder="1"/>
    <xf numFmtId="171" fontId="0" fillId="12" borderId="0" xfId="0" applyNumberFormat="1" applyFill="1" applyBorder="1"/>
    <xf numFmtId="0" fontId="41" fillId="0" borderId="0" xfId="0" applyFont="1"/>
    <xf numFmtId="172" fontId="0" fillId="12" borderId="27" xfId="1" applyNumberFormat="1" applyFont="1" applyFill="1" applyBorder="1"/>
    <xf numFmtId="172" fontId="0" fillId="0" borderId="0" xfId="1" applyNumberFormat="1" applyFont="1"/>
    <xf numFmtId="172" fontId="18" fillId="11" borderId="27" xfId="1" applyNumberFormat="1" applyFont="1" applyFill="1" applyBorder="1"/>
    <xf numFmtId="172" fontId="0" fillId="11" borderId="27" xfId="1" applyNumberFormat="1" applyFont="1" applyFill="1" applyBorder="1"/>
    <xf numFmtId="172" fontId="18" fillId="0" borderId="27" xfId="1" applyNumberFormat="1" applyFont="1" applyBorder="1"/>
    <xf numFmtId="172" fontId="0" fillId="0" borderId="27" xfId="1" applyNumberFormat="1" applyFont="1" applyBorder="1"/>
    <xf numFmtId="168" fontId="27" fillId="3" borderId="0" xfId="2" applyNumberFormat="1" applyAlignment="1">
      <alignment horizontal="center"/>
    </xf>
    <xf numFmtId="0" fontId="27" fillId="3" borderId="0" xfId="2" applyAlignment="1">
      <alignment horizontal="center"/>
    </xf>
    <xf numFmtId="0" fontId="33" fillId="5" borderId="0" xfId="4" applyFont="1" applyAlignment="1"/>
    <xf numFmtId="0" fontId="33" fillId="5" borderId="0" xfId="4" applyFont="1" applyAlignment="1">
      <alignment horizontal="center"/>
    </xf>
    <xf numFmtId="172" fontId="0" fillId="0" borderId="0" xfId="1" applyNumberFormat="1" applyFont="1" applyFill="1"/>
    <xf numFmtId="172" fontId="18" fillId="0" borderId="32" xfId="1" applyNumberFormat="1" applyFont="1" applyBorder="1"/>
    <xf numFmtId="172" fontId="18" fillId="0" borderId="0" xfId="1" applyNumberFormat="1" applyFont="1" applyBorder="1" applyAlignment="1">
      <alignment horizontal="center"/>
    </xf>
    <xf numFmtId="172" fontId="18" fillId="15" borderId="32" xfId="1" applyNumberFormat="1" applyFont="1" applyFill="1" applyBorder="1"/>
    <xf numFmtId="172" fontId="18" fillId="15" borderId="0" xfId="1" applyNumberFormat="1" applyFont="1" applyFill="1" applyBorder="1" applyAlignment="1">
      <alignment horizontal="center"/>
    </xf>
    <xf numFmtId="172" fontId="18" fillId="15" borderId="33" xfId="1" applyNumberFormat="1" applyFont="1" applyFill="1" applyBorder="1" applyAlignment="1">
      <alignment horizontal="center"/>
    </xf>
    <xf numFmtId="172" fontId="18" fillId="0" borderId="0" xfId="1" applyNumberFormat="1" applyFont="1" applyFill="1" applyBorder="1" applyAlignment="1">
      <alignment horizontal="center"/>
    </xf>
    <xf numFmtId="172" fontId="18" fillId="0" borderId="33" xfId="1" applyNumberFormat="1" applyFont="1" applyFill="1" applyBorder="1" applyAlignment="1">
      <alignment horizontal="center"/>
    </xf>
    <xf numFmtId="172" fontId="0" fillId="0" borderId="0" xfId="1" applyNumberFormat="1" applyFont="1" applyBorder="1" applyAlignment="1">
      <alignment horizontal="center"/>
    </xf>
    <xf numFmtId="172" fontId="0" fillId="0" borderId="33" xfId="1" applyNumberFormat="1" applyFont="1" applyBorder="1" applyAlignment="1">
      <alignment horizontal="center"/>
    </xf>
    <xf numFmtId="172" fontId="29" fillId="17" borderId="32" xfId="8" applyNumberFormat="1" applyFill="1" applyBorder="1"/>
    <xf numFmtId="172" fontId="29" fillId="17" borderId="0" xfId="8" applyNumberFormat="1" applyFill="1" applyBorder="1"/>
    <xf numFmtId="172" fontId="29" fillId="17" borderId="33" xfId="8" applyNumberFormat="1" applyFill="1" applyBorder="1"/>
    <xf numFmtId="171" fontId="18" fillId="0" borderId="32" xfId="0" applyNumberFormat="1" applyFont="1" applyBorder="1"/>
    <xf numFmtId="172" fontId="18" fillId="0" borderId="0" xfId="0" applyNumberFormat="1" applyFont="1" applyBorder="1"/>
    <xf numFmtId="171" fontId="18" fillId="0" borderId="34" xfId="0" applyNumberFormat="1" applyFont="1" applyBorder="1"/>
    <xf numFmtId="171" fontId="39" fillId="4" borderId="32" xfId="3" applyNumberFormat="1" applyFont="1" applyBorder="1" applyAlignment="1">
      <alignment horizontal="center"/>
    </xf>
    <xf numFmtId="171" fontId="39" fillId="4" borderId="0" xfId="3" applyNumberFormat="1" applyFont="1" applyBorder="1" applyAlignment="1">
      <alignment horizontal="center"/>
    </xf>
    <xf numFmtId="171" fontId="18" fillId="12" borderId="32" xfId="0" applyNumberFormat="1" applyFont="1" applyFill="1" applyBorder="1"/>
    <xf numFmtId="172" fontId="18" fillId="12" borderId="37" xfId="1" applyNumberFormat="1" applyFont="1" applyFill="1" applyBorder="1"/>
    <xf numFmtId="171" fontId="18" fillId="11" borderId="39" xfId="0" applyNumberFormat="1" applyFont="1" applyFill="1" applyBorder="1"/>
    <xf numFmtId="172" fontId="18" fillId="11" borderId="37" xfId="1" applyNumberFormat="1" applyFont="1" applyFill="1" applyBorder="1"/>
    <xf numFmtId="171" fontId="18" fillId="0" borderId="39" xfId="0" applyNumberFormat="1" applyFont="1" applyBorder="1"/>
    <xf numFmtId="172" fontId="18" fillId="0" borderId="37" xfId="1" applyNumberFormat="1" applyFont="1" applyBorder="1"/>
    <xf numFmtId="172" fontId="18" fillId="11" borderId="34" xfId="1" applyNumberFormat="1" applyFont="1" applyFill="1" applyBorder="1"/>
    <xf numFmtId="172" fontId="0" fillId="11" borderId="35" xfId="1" applyNumberFormat="1" applyFont="1" applyFill="1" applyBorder="1"/>
    <xf numFmtId="172" fontId="18" fillId="0" borderId="35" xfId="0" applyNumberFormat="1" applyFont="1" applyBorder="1"/>
    <xf numFmtId="172" fontId="28" fillId="7" borderId="0" xfId="1" applyNumberFormat="1" applyFont="1" applyFill="1" applyBorder="1" applyAlignment="1">
      <alignment horizontal="center"/>
    </xf>
    <xf numFmtId="172" fontId="28" fillId="13" borderId="0" xfId="1" applyNumberFormat="1" applyFont="1" applyFill="1" applyBorder="1" applyAlignment="1">
      <alignment horizontal="center"/>
    </xf>
    <xf numFmtId="172" fontId="18" fillId="7" borderId="32" xfId="7" applyNumberFormat="1" applyFont="1" applyBorder="1"/>
    <xf numFmtId="172" fontId="28" fillId="7" borderId="33" xfId="1" applyNumberFormat="1" applyFont="1" applyFill="1" applyBorder="1" applyAlignment="1">
      <alignment horizontal="center"/>
    </xf>
    <xf numFmtId="172" fontId="18" fillId="13" borderId="32" xfId="7" applyNumberFormat="1" applyFont="1" applyFill="1" applyBorder="1"/>
    <xf numFmtId="172" fontId="28" fillId="13" borderId="33" xfId="1" applyNumberFormat="1" applyFont="1" applyFill="1" applyBorder="1" applyAlignment="1">
      <alignment horizontal="center"/>
    </xf>
    <xf numFmtId="172" fontId="33" fillId="14" borderId="0" xfId="1" applyNumberFormat="1" applyFont="1" applyFill="1" applyBorder="1" applyAlignment="1">
      <alignment horizontal="center"/>
    </xf>
    <xf numFmtId="172" fontId="33" fillId="13" borderId="0" xfId="1" applyNumberFormat="1" applyFont="1" applyFill="1" applyBorder="1" applyAlignment="1">
      <alignment horizontal="center"/>
    </xf>
    <xf numFmtId="172" fontId="33" fillId="13" borderId="32" xfId="7" applyNumberFormat="1" applyFont="1" applyFill="1" applyBorder="1"/>
    <xf numFmtId="172" fontId="33" fillId="13" borderId="33" xfId="1" applyNumberFormat="1" applyFont="1" applyFill="1" applyBorder="1" applyAlignment="1">
      <alignment horizontal="center"/>
    </xf>
    <xf numFmtId="172" fontId="33" fillId="14" borderId="32" xfId="7" applyNumberFormat="1" applyFont="1" applyFill="1" applyBorder="1"/>
    <xf numFmtId="172" fontId="33" fillId="14" borderId="33" xfId="1" applyNumberFormat="1" applyFont="1" applyFill="1" applyBorder="1" applyAlignment="1">
      <alignment horizontal="center"/>
    </xf>
    <xf numFmtId="172" fontId="18" fillId="0" borderId="34" xfId="1" applyNumberFormat="1" applyFont="1" applyBorder="1"/>
    <xf numFmtId="172" fontId="28" fillId="4" borderId="29" xfId="1" applyNumberFormat="1" applyFont="1" applyFill="1" applyBorder="1" applyAlignment="1">
      <alignment horizontal="center"/>
    </xf>
    <xf numFmtId="172" fontId="28" fillId="4" borderId="31" xfId="1" applyNumberFormat="1" applyFont="1" applyFill="1" applyBorder="1" applyAlignment="1">
      <alignment horizontal="center"/>
    </xf>
    <xf numFmtId="172" fontId="28" fillId="4" borderId="32" xfId="1" applyNumberFormat="1" applyFont="1" applyFill="1" applyBorder="1" applyAlignment="1">
      <alignment horizontal="center"/>
    </xf>
    <xf numFmtId="172" fontId="28" fillId="4" borderId="33" xfId="1" applyNumberFormat="1" applyFont="1" applyFill="1" applyBorder="1" applyAlignment="1">
      <alignment horizontal="center"/>
    </xf>
    <xf numFmtId="172" fontId="28" fillId="4" borderId="34" xfId="1" applyNumberFormat="1" applyFont="1" applyFill="1" applyBorder="1" applyAlignment="1">
      <alignment horizontal="center"/>
    </xf>
    <xf numFmtId="173" fontId="18" fillId="0" borderId="0" xfId="1" applyNumberFormat="1" applyFont="1" applyBorder="1"/>
    <xf numFmtId="167" fontId="21" fillId="0" borderId="42" xfId="0" applyNumberFormat="1" applyFont="1" applyBorder="1"/>
    <xf numFmtId="167" fontId="21" fillId="0" borderId="43" xfId="0" applyNumberFormat="1" applyFont="1" applyBorder="1"/>
    <xf numFmtId="167" fontId="21" fillId="0" borderId="44" xfId="0" applyNumberFormat="1" applyFont="1" applyBorder="1"/>
    <xf numFmtId="167" fontId="21" fillId="0" borderId="45" xfId="0" applyNumberFormat="1" applyFont="1" applyBorder="1"/>
    <xf numFmtId="0" fontId="0" fillId="0" borderId="44" xfId="0" applyFont="1" applyBorder="1" applyAlignment="1"/>
    <xf numFmtId="0" fontId="0" fillId="0" borderId="45" xfId="0" applyFont="1" applyBorder="1" applyAlignment="1"/>
    <xf numFmtId="167" fontId="21" fillId="0" borderId="46" xfId="0" applyNumberFormat="1" applyFont="1" applyBorder="1"/>
    <xf numFmtId="167" fontId="21" fillId="0" borderId="47" xfId="0" applyNumberFormat="1" applyFont="1" applyBorder="1"/>
    <xf numFmtId="0" fontId="21" fillId="0" borderId="0" xfId="0" applyFont="1" applyBorder="1"/>
    <xf numFmtId="167" fontId="21" fillId="21" borderId="5" xfId="0" applyNumberFormat="1" applyFont="1" applyFill="1" applyBorder="1"/>
    <xf numFmtId="0" fontId="21" fillId="21" borderId="6" xfId="0" applyFont="1" applyFill="1" applyBorder="1"/>
    <xf numFmtId="167" fontId="21" fillId="0" borderId="48" xfId="0" applyNumberFormat="1" applyFont="1" applyBorder="1"/>
    <xf numFmtId="167" fontId="21" fillId="21" borderId="41" xfId="0" applyNumberFormat="1" applyFont="1" applyFill="1" applyBorder="1"/>
    <xf numFmtId="0" fontId="21" fillId="0" borderId="48" xfId="0" applyFont="1" applyBorder="1"/>
    <xf numFmtId="0" fontId="21" fillId="21" borderId="41" xfId="0" applyFont="1" applyFill="1" applyBorder="1"/>
    <xf numFmtId="167" fontId="21" fillId="0" borderId="0" xfId="0" applyNumberFormat="1" applyFont="1" applyBorder="1"/>
    <xf numFmtId="167" fontId="21" fillId="12" borderId="0" xfId="0" applyNumberFormat="1" applyFont="1" applyFill="1" applyBorder="1"/>
    <xf numFmtId="167" fontId="24" fillId="22" borderId="0" xfId="0" applyNumberFormat="1" applyFont="1" applyFill="1" applyBorder="1"/>
    <xf numFmtId="167" fontId="21" fillId="0" borderId="41" xfId="0" applyNumberFormat="1" applyFont="1" applyBorder="1"/>
    <xf numFmtId="171" fontId="27" fillId="12" borderId="0" xfId="2" applyNumberFormat="1" applyFill="1" applyBorder="1" applyAlignment="1"/>
    <xf numFmtId="174" fontId="33" fillId="5" borderId="0" xfId="10" applyNumberFormat="1" applyFont="1" applyFill="1" applyAlignment="1"/>
    <xf numFmtId="167" fontId="21" fillId="0" borderId="0" xfId="0" applyNumberFormat="1" applyFont="1" applyBorder="1" applyAlignment="1">
      <alignment horizontal="right"/>
    </xf>
    <xf numFmtId="167" fontId="21" fillId="0" borderId="49" xfId="0" applyNumberFormat="1" applyFont="1" applyBorder="1"/>
    <xf numFmtId="0" fontId="44" fillId="6" borderId="23" xfId="0" applyFont="1" applyFill="1" applyBorder="1"/>
    <xf numFmtId="0" fontId="44" fillId="6" borderId="0" xfId="0" applyFont="1" applyFill="1"/>
    <xf numFmtId="169" fontId="44" fillId="6" borderId="24" xfId="0" applyNumberFormat="1" applyFont="1" applyFill="1" applyBorder="1"/>
    <xf numFmtId="175" fontId="33" fillId="0" borderId="0" xfId="1" applyNumberFormat="1" applyFont="1" applyAlignment="1"/>
    <xf numFmtId="10" fontId="18" fillId="0" borderId="35" xfId="6" applyNumberFormat="1" applyFont="1" applyBorder="1"/>
    <xf numFmtId="176" fontId="17" fillId="0" borderId="0" xfId="0" applyNumberFormat="1" applyFont="1"/>
    <xf numFmtId="9" fontId="17" fillId="0" borderId="0" xfId="6" applyFont="1"/>
    <xf numFmtId="171" fontId="33" fillId="10" borderId="33" xfId="9" applyNumberFormat="1" applyFont="1" applyBorder="1" applyAlignment="1">
      <alignment horizontal="center"/>
    </xf>
    <xf numFmtId="176" fontId="28" fillId="4" borderId="33" xfId="1" applyNumberFormat="1" applyFont="1" applyFill="1" applyBorder="1" applyAlignment="1">
      <alignment horizontal="center"/>
    </xf>
    <xf numFmtId="176" fontId="28" fillId="4" borderId="36" xfId="1" applyNumberFormat="1" applyFont="1" applyFill="1" applyBorder="1" applyAlignment="1">
      <alignment horizontal="center"/>
    </xf>
    <xf numFmtId="169" fontId="16" fillId="0" borderId="0" xfId="1" applyNumberFormat="1" applyFont="1" applyAlignment="1">
      <alignment horizontal="left"/>
    </xf>
    <xf numFmtId="0" fontId="21" fillId="0" borderId="51" xfId="0" applyFont="1" applyBorder="1"/>
    <xf numFmtId="169" fontId="13" fillId="0" borderId="0" xfId="1" applyNumberFormat="1" applyFont="1" applyAlignment="1">
      <alignment horizontal="left"/>
    </xf>
    <xf numFmtId="44" fontId="21" fillId="0" borderId="13" xfId="11" applyFont="1" applyBorder="1"/>
    <xf numFmtId="44" fontId="21" fillId="0" borderId="1" xfId="11" applyFont="1" applyBorder="1"/>
    <xf numFmtId="44" fontId="21" fillId="0" borderId="3" xfId="11" applyFont="1" applyBorder="1"/>
    <xf numFmtId="44" fontId="21" fillId="0" borderId="18" xfId="11" applyFont="1" applyBorder="1"/>
    <xf numFmtId="44" fontId="21" fillId="0" borderId="43" xfId="11" applyFont="1" applyBorder="1"/>
    <xf numFmtId="44" fontId="21" fillId="0" borderId="45" xfId="11" applyFont="1" applyBorder="1"/>
    <xf numFmtId="44" fontId="21" fillId="0" borderId="11" xfId="11" applyFont="1" applyBorder="1"/>
    <xf numFmtId="0" fontId="21" fillId="0" borderId="30" xfId="0" applyFont="1" applyBorder="1"/>
    <xf numFmtId="167" fontId="21" fillId="0" borderId="32" xfId="0" applyNumberFormat="1" applyFont="1" applyBorder="1"/>
    <xf numFmtId="167" fontId="21" fillId="0" borderId="35" xfId="0" applyNumberFormat="1" applyFont="1" applyBorder="1"/>
    <xf numFmtId="0" fontId="21" fillId="0" borderId="35" xfId="0" applyFont="1" applyBorder="1"/>
    <xf numFmtId="167" fontId="21" fillId="23" borderId="0" xfId="0" applyNumberFormat="1" applyFont="1" applyFill="1" applyBorder="1"/>
    <xf numFmtId="0" fontId="21" fillId="12" borderId="0" xfId="0" applyFont="1" applyFill="1" applyBorder="1"/>
    <xf numFmtId="0" fontId="21" fillId="23" borderId="0" xfId="0" applyFont="1" applyFill="1" applyBorder="1"/>
    <xf numFmtId="179" fontId="0" fillId="0" borderId="40" xfId="0" applyNumberFormat="1" applyBorder="1"/>
    <xf numFmtId="172" fontId="0" fillId="0" borderId="0" xfId="0" applyNumberFormat="1"/>
    <xf numFmtId="0" fontId="0" fillId="0" borderId="45" xfId="0" applyFont="1" applyBorder="1" applyAlignment="1">
      <alignment horizontal="center"/>
    </xf>
    <xf numFmtId="180" fontId="21" fillId="0" borderId="0" xfId="11" applyNumberFormat="1" applyFont="1"/>
    <xf numFmtId="180" fontId="21" fillId="0" borderId="14" xfId="11" applyNumberFormat="1" applyFont="1" applyBorder="1"/>
    <xf numFmtId="180" fontId="21" fillId="0" borderId="2" xfId="11" applyNumberFormat="1" applyFont="1" applyBorder="1"/>
    <xf numFmtId="180" fontId="21" fillId="0" borderId="4" xfId="11" applyNumberFormat="1" applyFont="1" applyBorder="1"/>
    <xf numFmtId="180" fontId="0" fillId="0" borderId="0" xfId="11" applyNumberFormat="1" applyFont="1" applyAlignment="1"/>
    <xf numFmtId="180" fontId="21" fillId="0" borderId="0" xfId="11" applyNumberFormat="1" applyFont="1" applyBorder="1"/>
    <xf numFmtId="0" fontId="0" fillId="0" borderId="0" xfId="0" applyFont="1" applyBorder="1" applyAlignment="1"/>
    <xf numFmtId="0" fontId="21" fillId="0" borderId="0" xfId="0" applyFont="1" applyBorder="1" applyAlignment="1">
      <alignment horizontal="center"/>
    </xf>
    <xf numFmtId="180" fontId="21" fillId="12" borderId="0" xfId="11" applyNumberFormat="1" applyFont="1" applyFill="1" applyBorder="1"/>
    <xf numFmtId="44" fontId="21" fillId="12" borderId="0" xfId="11" applyFont="1" applyFill="1" applyBorder="1"/>
    <xf numFmtId="178" fontId="21" fillId="12" borderId="0" xfId="0" applyNumberFormat="1" applyFont="1" applyFill="1" applyBorder="1"/>
    <xf numFmtId="0" fontId="0" fillId="12" borderId="0" xfId="0" applyFont="1" applyFill="1" applyBorder="1" applyAlignment="1"/>
    <xf numFmtId="167" fontId="21" fillId="12" borderId="0" xfId="0" applyNumberFormat="1" applyFont="1" applyFill="1" applyBorder="1" applyAlignment="1">
      <alignment horizontal="right"/>
    </xf>
    <xf numFmtId="44" fontId="21" fillId="12" borderId="0" xfId="11" applyFont="1" applyFill="1" applyBorder="1" applyAlignment="1">
      <alignment horizontal="right"/>
    </xf>
    <xf numFmtId="167" fontId="21" fillId="12" borderId="0" xfId="0" applyNumberFormat="1" applyFont="1" applyFill="1" applyBorder="1" applyAlignment="1">
      <alignment horizontal="center"/>
    </xf>
    <xf numFmtId="174" fontId="21" fillId="12" borderId="0" xfId="10" applyNumberFormat="1" applyFont="1" applyFill="1" applyBorder="1"/>
    <xf numFmtId="0" fontId="21" fillId="12" borderId="0" xfId="0" applyFont="1" applyFill="1" applyBorder="1" applyAlignment="1">
      <alignment horizontal="center"/>
    </xf>
    <xf numFmtId="1" fontId="21" fillId="12" borderId="0" xfId="0" applyNumberFormat="1" applyFont="1" applyFill="1" applyBorder="1"/>
    <xf numFmtId="166" fontId="21" fillId="12" borderId="0" xfId="0" applyNumberFormat="1" applyFont="1" applyFill="1" applyBorder="1"/>
    <xf numFmtId="44" fontId="21" fillId="0" borderId="52" xfId="11" applyFont="1" applyBorder="1"/>
    <xf numFmtId="0" fontId="0" fillId="21" borderId="41" xfId="0" applyFont="1" applyFill="1" applyBorder="1" applyAlignment="1"/>
    <xf numFmtId="167" fontId="21" fillId="0" borderId="53" xfId="0" applyNumberFormat="1" applyFont="1" applyBorder="1"/>
    <xf numFmtId="44" fontId="21" fillId="0" borderId="54" xfId="11" applyFont="1" applyBorder="1"/>
    <xf numFmtId="0" fontId="0" fillId="0" borderId="46" xfId="0" applyFont="1" applyBorder="1" applyAlignment="1"/>
    <xf numFmtId="44" fontId="0" fillId="0" borderId="47" xfId="11" applyFont="1" applyBorder="1" applyAlignment="1"/>
    <xf numFmtId="0" fontId="21" fillId="0" borderId="29" xfId="0" applyFont="1" applyBorder="1"/>
    <xf numFmtId="180" fontId="21" fillId="0" borderId="30" xfId="11" applyNumberFormat="1" applyFont="1" applyBorder="1"/>
    <xf numFmtId="180" fontId="21" fillId="0" borderId="31" xfId="11" applyNumberFormat="1" applyFont="1" applyBorder="1"/>
    <xf numFmtId="180" fontId="21" fillId="0" borderId="33" xfId="11" applyNumberFormat="1" applyFont="1" applyBorder="1"/>
    <xf numFmtId="167" fontId="21" fillId="21" borderId="55" xfId="0" applyNumberFormat="1" applyFont="1" applyFill="1" applyBorder="1"/>
    <xf numFmtId="167" fontId="21" fillId="0" borderId="57" xfId="0" applyNumberFormat="1" applyFont="1" applyBorder="1"/>
    <xf numFmtId="180" fontId="21" fillId="0" borderId="58" xfId="11" applyNumberFormat="1" applyFont="1" applyBorder="1"/>
    <xf numFmtId="180" fontId="21" fillId="0" borderId="50" xfId="11" applyNumberFormat="1" applyFont="1" applyBorder="1"/>
    <xf numFmtId="167" fontId="21" fillId="0" borderId="59" xfId="0" applyNumberFormat="1" applyFont="1" applyBorder="1"/>
    <xf numFmtId="180" fontId="21" fillId="0" borderId="60" xfId="11" applyNumberFormat="1" applyFont="1" applyBorder="1"/>
    <xf numFmtId="167" fontId="21" fillId="0" borderId="61" xfId="0" applyNumberFormat="1" applyFont="1" applyBorder="1" applyAlignment="1">
      <alignment horizontal="right"/>
    </xf>
    <xf numFmtId="180" fontId="21" fillId="0" borderId="62" xfId="11" applyNumberFormat="1" applyFont="1" applyBorder="1"/>
    <xf numFmtId="0" fontId="0" fillId="0" borderId="32" xfId="0" applyFont="1" applyBorder="1" applyAlignment="1"/>
    <xf numFmtId="167" fontId="21" fillId="21" borderId="63" xfId="0" applyNumberFormat="1" applyFont="1" applyFill="1" applyBorder="1"/>
    <xf numFmtId="167" fontId="21" fillId="0" borderId="64" xfId="0" applyNumberFormat="1" applyFont="1" applyBorder="1"/>
    <xf numFmtId="0" fontId="21" fillId="0" borderId="59" xfId="0" applyFont="1" applyBorder="1"/>
    <xf numFmtId="167" fontId="21" fillId="0" borderId="32" xfId="0" applyNumberFormat="1" applyFont="1" applyBorder="1" applyAlignment="1">
      <alignment horizontal="right"/>
    </xf>
    <xf numFmtId="167" fontId="21" fillId="0" borderId="55" xfId="0" applyNumberFormat="1" applyFont="1" applyBorder="1"/>
    <xf numFmtId="0" fontId="21" fillId="0" borderId="32" xfId="0" applyFont="1" applyBorder="1" applyAlignment="1">
      <alignment horizontal="center"/>
    </xf>
    <xf numFmtId="0" fontId="21" fillId="0" borderId="32" xfId="0" applyFont="1" applyBorder="1"/>
    <xf numFmtId="0" fontId="21" fillId="0" borderId="34" xfId="0" applyFont="1" applyBorder="1"/>
    <xf numFmtId="180" fontId="21" fillId="0" borderId="35" xfId="11" applyNumberFormat="1" applyFont="1" applyBorder="1"/>
    <xf numFmtId="180" fontId="21" fillId="0" borderId="36" xfId="11" applyNumberFormat="1" applyFont="1" applyBorder="1"/>
    <xf numFmtId="167" fontId="21" fillId="0" borderId="29" xfId="0" applyNumberFormat="1" applyFont="1" applyBorder="1"/>
    <xf numFmtId="167" fontId="21" fillId="0" borderId="30" xfId="0" applyNumberFormat="1" applyFont="1" applyBorder="1"/>
    <xf numFmtId="167" fontId="21" fillId="0" borderId="30" xfId="11" applyNumberFormat="1" applyFont="1" applyBorder="1"/>
    <xf numFmtId="167" fontId="21" fillId="0" borderId="0" xfId="11" applyNumberFormat="1" applyFont="1" applyBorder="1"/>
    <xf numFmtId="167" fontId="21" fillId="21" borderId="6" xfId="0" applyNumberFormat="1" applyFont="1" applyFill="1" applyBorder="1"/>
    <xf numFmtId="180" fontId="21" fillId="21" borderId="65" xfId="11" applyNumberFormat="1" applyFont="1" applyFill="1" applyBorder="1" applyAlignment="1"/>
    <xf numFmtId="180" fontId="21" fillId="12" borderId="0" xfId="11" applyNumberFormat="1" applyFont="1" applyFill="1" applyBorder="1" applyAlignment="1"/>
    <xf numFmtId="167" fontId="0" fillId="0" borderId="40" xfId="0" applyNumberFormat="1" applyBorder="1"/>
    <xf numFmtId="167" fontId="21" fillId="0" borderId="4" xfId="0" applyNumberFormat="1" applyFont="1" applyBorder="1"/>
    <xf numFmtId="167" fontId="21" fillId="0" borderId="4" xfId="11" applyNumberFormat="1" applyFont="1" applyBorder="1"/>
    <xf numFmtId="180" fontId="21" fillId="0" borderId="66" xfId="11" applyNumberFormat="1" applyFont="1" applyBorder="1"/>
    <xf numFmtId="44" fontId="21" fillId="0" borderId="67" xfId="11" applyFont="1" applyBorder="1"/>
    <xf numFmtId="167" fontId="21" fillId="0" borderId="13" xfId="11" applyNumberFormat="1" applyFont="1" applyBorder="1"/>
    <xf numFmtId="167" fontId="21" fillId="0" borderId="14" xfId="11" applyNumberFormat="1" applyFont="1" applyBorder="1"/>
    <xf numFmtId="180" fontId="21" fillId="0" borderId="49" xfId="11" applyNumberFormat="1" applyFont="1" applyBorder="1"/>
    <xf numFmtId="44" fontId="21" fillId="0" borderId="50" xfId="11" applyFont="1" applyBorder="1"/>
    <xf numFmtId="167" fontId="21" fillId="0" borderId="1" xfId="11" applyNumberFormat="1" applyFont="1" applyBorder="1"/>
    <xf numFmtId="167" fontId="0" fillId="0" borderId="44" xfId="0" applyNumberFormat="1" applyFont="1" applyBorder="1" applyAlignment="1"/>
    <xf numFmtId="167" fontId="0" fillId="0" borderId="45" xfId="0" applyNumberFormat="1" applyFont="1" applyBorder="1" applyAlignment="1">
      <alignment horizontal="center"/>
    </xf>
    <xf numFmtId="167" fontId="0" fillId="0" borderId="45" xfId="0" applyNumberFormat="1" applyFont="1" applyBorder="1" applyAlignment="1"/>
    <xf numFmtId="167" fontId="21" fillId="0" borderId="2" xfId="11" applyNumberFormat="1" applyFont="1" applyBorder="1"/>
    <xf numFmtId="44" fontId="0" fillId="0" borderId="45" xfId="11" applyFont="1" applyBorder="1" applyAlignment="1"/>
    <xf numFmtId="44" fontId="0" fillId="0" borderId="45" xfId="11" applyFont="1" applyBorder="1" applyAlignment="1">
      <alignment horizontal="center"/>
    </xf>
    <xf numFmtId="180" fontId="21" fillId="0" borderId="68" xfId="11" applyNumberFormat="1" applyFont="1" applyBorder="1"/>
    <xf numFmtId="44" fontId="21" fillId="0" borderId="69" xfId="11" applyFont="1" applyBorder="1"/>
    <xf numFmtId="167" fontId="21" fillId="0" borderId="18" xfId="11" applyNumberFormat="1" applyFont="1" applyBorder="1"/>
    <xf numFmtId="44" fontId="21" fillId="0" borderId="62" xfId="11" applyFont="1" applyBorder="1"/>
    <xf numFmtId="167" fontId="0" fillId="0" borderId="32" xfId="0" applyNumberFormat="1" applyFont="1" applyBorder="1" applyAlignment="1"/>
    <xf numFmtId="167" fontId="0" fillId="0" borderId="0" xfId="0" applyNumberFormat="1" applyFont="1" applyBorder="1" applyAlignment="1"/>
    <xf numFmtId="44" fontId="21" fillId="0" borderId="47" xfId="11" applyFont="1" applyBorder="1"/>
    <xf numFmtId="167" fontId="21" fillId="0" borderId="3" xfId="11" applyNumberFormat="1" applyFont="1" applyBorder="1"/>
    <xf numFmtId="167" fontId="21" fillId="0" borderId="20" xfId="0" applyNumberFormat="1" applyFont="1" applyBorder="1"/>
    <xf numFmtId="167" fontId="21" fillId="0" borderId="15" xfId="0" applyNumberFormat="1" applyFont="1" applyBorder="1"/>
    <xf numFmtId="44" fontId="21" fillId="0" borderId="7" xfId="11" applyFont="1" applyBorder="1"/>
    <xf numFmtId="167" fontId="21" fillId="0" borderId="11" xfId="11" applyNumberFormat="1" applyFont="1" applyBorder="1"/>
    <xf numFmtId="167" fontId="0" fillId="21" borderId="41" xfId="0" applyNumberFormat="1" applyFont="1" applyFill="1" applyBorder="1" applyAlignment="1"/>
    <xf numFmtId="167" fontId="21" fillId="0" borderId="43" xfId="11" applyNumberFormat="1" applyFont="1" applyBorder="1"/>
    <xf numFmtId="167" fontId="21" fillId="0" borderId="45" xfId="11" applyNumberFormat="1" applyFont="1" applyBorder="1"/>
    <xf numFmtId="44" fontId="21" fillId="0" borderId="12" xfId="11" applyFont="1" applyBorder="1"/>
    <xf numFmtId="167" fontId="21" fillId="0" borderId="54" xfId="11" applyNumberFormat="1" applyFont="1" applyBorder="1"/>
    <xf numFmtId="44" fontId="21" fillId="0" borderId="6" xfId="11" applyFont="1" applyBorder="1"/>
    <xf numFmtId="167" fontId="0" fillId="0" borderId="46" xfId="0" applyNumberFormat="1" applyFont="1" applyBorder="1" applyAlignment="1"/>
    <xf numFmtId="167" fontId="0" fillId="0" borderId="47" xfId="11" applyNumberFormat="1" applyFont="1" applyBorder="1" applyAlignment="1"/>
    <xf numFmtId="167" fontId="21" fillId="0" borderId="52" xfId="11" applyNumberFormat="1" applyFont="1" applyBorder="1"/>
    <xf numFmtId="167" fontId="21" fillId="0" borderId="17" xfId="0" applyNumberFormat="1" applyFont="1" applyBorder="1"/>
    <xf numFmtId="167" fontId="21" fillId="0" borderId="51" xfId="0" applyNumberFormat="1" applyFont="1" applyBorder="1"/>
    <xf numFmtId="44" fontId="21" fillId="0" borderId="51" xfId="11" applyFont="1" applyBorder="1"/>
    <xf numFmtId="44" fontId="21" fillId="0" borderId="41" xfId="11" applyFont="1" applyBorder="1"/>
    <xf numFmtId="167" fontId="21" fillId="0" borderId="32" xfId="0" applyNumberFormat="1" applyFont="1" applyBorder="1" applyAlignment="1">
      <alignment horizontal="center"/>
    </xf>
    <xf numFmtId="167" fontId="21" fillId="0" borderId="41" xfId="0" applyNumberFormat="1" applyFont="1" applyBorder="1" applyAlignment="1">
      <alignment horizontal="center"/>
    </xf>
    <xf numFmtId="167" fontId="21" fillId="0" borderId="0" xfId="0" applyNumberFormat="1" applyFont="1" applyBorder="1" applyAlignment="1">
      <alignment horizontal="center"/>
    </xf>
    <xf numFmtId="0" fontId="21" fillId="0" borderId="32" xfId="0" applyFont="1" applyBorder="1" applyAlignment="1">
      <alignment horizontal="right"/>
    </xf>
    <xf numFmtId="167" fontId="21" fillId="0" borderId="34" xfId="0" applyNumberFormat="1" applyFont="1" applyBorder="1"/>
    <xf numFmtId="167" fontId="21" fillId="0" borderId="35" xfId="11" applyNumberFormat="1" applyFont="1" applyBorder="1"/>
    <xf numFmtId="167" fontId="0" fillId="12" borderId="0" xfId="0" applyNumberFormat="1" applyFont="1" applyFill="1" applyBorder="1" applyAlignment="1"/>
    <xf numFmtId="167" fontId="21" fillId="0" borderId="0" xfId="0" applyNumberFormat="1" applyFont="1"/>
    <xf numFmtId="167" fontId="0" fillId="0" borderId="0" xfId="0" applyNumberFormat="1" applyFont="1" applyAlignment="1"/>
    <xf numFmtId="172" fontId="10" fillId="12" borderId="27" xfId="1" applyNumberFormat="1" applyFont="1" applyFill="1" applyBorder="1"/>
    <xf numFmtId="171" fontId="10" fillId="11" borderId="28" xfId="0" applyNumberFormat="1" applyFont="1" applyFill="1" applyBorder="1" applyAlignment="1">
      <alignment horizontal="center"/>
    </xf>
    <xf numFmtId="171" fontId="0" fillId="11" borderId="28" xfId="0" applyNumberFormat="1" applyFill="1" applyBorder="1" applyAlignment="1">
      <alignment horizontal="center"/>
    </xf>
    <xf numFmtId="172" fontId="10" fillId="11" borderId="27" xfId="1" applyNumberFormat="1" applyFont="1" applyFill="1" applyBorder="1"/>
    <xf numFmtId="172" fontId="10" fillId="0" borderId="27" xfId="1" applyNumberFormat="1" applyFont="1" applyBorder="1"/>
    <xf numFmtId="165" fontId="0" fillId="0" borderId="27" xfId="1" applyFont="1" applyBorder="1"/>
    <xf numFmtId="0" fontId="10" fillId="0" borderId="0" xfId="0" applyFont="1"/>
    <xf numFmtId="171" fontId="10" fillId="0" borderId="0" xfId="0" applyNumberFormat="1" applyFont="1"/>
    <xf numFmtId="171" fontId="10" fillId="0" borderId="40" xfId="0" applyNumberFormat="1" applyFont="1" applyBorder="1"/>
    <xf numFmtId="172" fontId="0" fillId="0" borderId="40" xfId="0" applyNumberFormat="1" applyBorder="1"/>
    <xf numFmtId="173" fontId="0" fillId="0" borderId="40" xfId="0" applyNumberFormat="1" applyBorder="1"/>
    <xf numFmtId="172" fontId="10" fillId="0" borderId="40" xfId="0" applyNumberFormat="1" applyFont="1" applyBorder="1"/>
    <xf numFmtId="0" fontId="10" fillId="0" borderId="40" xfId="0" applyFont="1" applyBorder="1" applyAlignment="1">
      <alignment horizontal="center"/>
    </xf>
    <xf numFmtId="0" fontId="0" fillId="0" borderId="0" xfId="0" applyAlignment="1">
      <alignment horizontal="center"/>
    </xf>
    <xf numFmtId="172" fontId="0" fillId="0" borderId="71" xfId="0" applyNumberFormat="1" applyBorder="1"/>
    <xf numFmtId="164" fontId="0" fillId="0" borderId="40" xfId="10" applyFont="1" applyBorder="1"/>
    <xf numFmtId="173" fontId="0" fillId="0" borderId="71" xfId="0" applyNumberFormat="1" applyBorder="1"/>
    <xf numFmtId="164" fontId="0" fillId="0" borderId="40" xfId="10" applyFont="1" applyBorder="1" applyAlignment="1">
      <alignment horizontal="center"/>
    </xf>
    <xf numFmtId="0" fontId="0" fillId="0" borderId="40" xfId="0" applyBorder="1" applyAlignment="1">
      <alignment horizontal="center"/>
    </xf>
    <xf numFmtId="164" fontId="0" fillId="0" borderId="36" xfId="10" applyFont="1" applyBorder="1" applyAlignment="1">
      <alignment horizontal="center"/>
    </xf>
    <xf numFmtId="171" fontId="10" fillId="0" borderId="70" xfId="0" applyNumberFormat="1" applyFont="1" applyBorder="1"/>
    <xf numFmtId="0" fontId="0" fillId="0" borderId="73" xfId="0" applyBorder="1"/>
    <xf numFmtId="164" fontId="0" fillId="0" borderId="73" xfId="10" applyFont="1" applyBorder="1"/>
    <xf numFmtId="180" fontId="0" fillId="0" borderId="40" xfId="11" applyNumberFormat="1" applyFont="1" applyBorder="1"/>
    <xf numFmtId="174" fontId="21" fillId="21" borderId="55" xfId="10" applyNumberFormat="1" applyFont="1" applyFill="1" applyBorder="1"/>
    <xf numFmtId="174" fontId="21" fillId="0" borderId="0" xfId="10" applyNumberFormat="1" applyFont="1" applyBorder="1"/>
    <xf numFmtId="174" fontId="21" fillId="21" borderId="5" xfId="10" applyNumberFormat="1" applyFont="1" applyFill="1" applyBorder="1"/>
    <xf numFmtId="174" fontId="21" fillId="21" borderId="6" xfId="10" applyNumberFormat="1" applyFont="1" applyFill="1" applyBorder="1"/>
    <xf numFmtId="174" fontId="21" fillId="0" borderId="57" xfId="10" applyNumberFormat="1" applyFont="1" applyBorder="1"/>
    <xf numFmtId="174" fontId="0" fillId="0" borderId="40" xfId="10" applyNumberFormat="1" applyFont="1" applyBorder="1"/>
    <xf numFmtId="174" fontId="21" fillId="0" borderId="42" xfId="10" applyNumberFormat="1" applyFont="1" applyBorder="1"/>
    <xf numFmtId="174" fontId="21" fillId="0" borderId="43" xfId="10" applyNumberFormat="1" applyFont="1" applyBorder="1"/>
    <xf numFmtId="174" fontId="21" fillId="0" borderId="4" xfId="10" applyNumberFormat="1" applyFont="1" applyBorder="1"/>
    <xf numFmtId="174" fontId="21" fillId="0" borderId="3" xfId="10" applyNumberFormat="1" applyFont="1" applyBorder="1"/>
    <xf numFmtId="174" fontId="21" fillId="0" borderId="58" xfId="10" applyNumberFormat="1" applyFont="1" applyBorder="1"/>
    <xf numFmtId="174" fontId="21" fillId="0" borderId="49" xfId="10" applyNumberFormat="1" applyFont="1" applyBorder="1"/>
    <xf numFmtId="174" fontId="21" fillId="0" borderId="13" xfId="10" applyNumberFormat="1" applyFont="1" applyBorder="1"/>
    <xf numFmtId="174" fontId="21" fillId="0" borderId="44" xfId="10" applyNumberFormat="1" applyFont="1" applyBorder="1"/>
    <xf numFmtId="174" fontId="21" fillId="0" borderId="45" xfId="10" applyNumberFormat="1" applyFont="1" applyBorder="1"/>
    <xf numFmtId="174" fontId="21" fillId="0" borderId="14" xfId="10" applyNumberFormat="1" applyFont="1" applyBorder="1"/>
    <xf numFmtId="174" fontId="21" fillId="0" borderId="50" xfId="10" applyNumberFormat="1" applyFont="1" applyBorder="1"/>
    <xf numFmtId="174" fontId="21" fillId="0" borderId="59" xfId="10" applyNumberFormat="1" applyFont="1" applyBorder="1"/>
    <xf numFmtId="174" fontId="21" fillId="0" borderId="1" xfId="10" applyNumberFormat="1" applyFont="1" applyBorder="1"/>
    <xf numFmtId="174" fontId="0" fillId="0" borderId="44" xfId="10" applyNumberFormat="1" applyFont="1" applyBorder="1" applyAlignment="1"/>
    <xf numFmtId="174" fontId="0" fillId="0" borderId="45" xfId="10" applyNumberFormat="1" applyFont="1" applyBorder="1" applyAlignment="1"/>
    <xf numFmtId="174" fontId="0" fillId="0" borderId="45" xfId="10" applyNumberFormat="1" applyFont="1" applyBorder="1" applyAlignment="1">
      <alignment horizontal="center"/>
    </xf>
    <xf numFmtId="174" fontId="21" fillId="0" borderId="2" xfId="10" applyNumberFormat="1" applyFont="1" applyBorder="1"/>
    <xf numFmtId="174" fontId="21" fillId="0" borderId="60" xfId="10" applyNumberFormat="1" applyFont="1" applyBorder="1"/>
    <xf numFmtId="174" fontId="21" fillId="0" borderId="61" xfId="10" applyNumberFormat="1" applyFont="1" applyBorder="1" applyAlignment="1">
      <alignment horizontal="right"/>
    </xf>
    <xf numFmtId="174" fontId="21" fillId="0" borderId="18" xfId="10" applyNumberFormat="1" applyFont="1" applyBorder="1"/>
    <xf numFmtId="174" fontId="21" fillId="0" borderId="62" xfId="10" applyNumberFormat="1" applyFont="1" applyBorder="1"/>
    <xf numFmtId="174" fontId="0" fillId="0" borderId="32" xfId="10" applyNumberFormat="1" applyFont="1" applyBorder="1" applyAlignment="1"/>
    <xf numFmtId="174" fontId="0" fillId="0" borderId="0" xfId="10" applyNumberFormat="1" applyFont="1" applyBorder="1" applyAlignment="1"/>
    <xf numFmtId="174" fontId="21" fillId="0" borderId="46" xfId="10" applyNumberFormat="1" applyFont="1" applyBorder="1"/>
    <xf numFmtId="174" fontId="21" fillId="0" borderId="47" xfId="10" applyNumberFormat="1" applyFont="1" applyBorder="1"/>
    <xf numFmtId="174" fontId="21" fillId="0" borderId="33" xfId="10" applyNumberFormat="1" applyFont="1" applyBorder="1"/>
    <xf numFmtId="174" fontId="21" fillId="0" borderId="0" xfId="10" applyNumberFormat="1" applyFont="1" applyBorder="1" applyAlignment="1">
      <alignment horizontal="right"/>
    </xf>
    <xf numFmtId="174" fontId="21" fillId="21" borderId="63" xfId="10" applyNumberFormat="1" applyFont="1" applyFill="1" applyBorder="1"/>
    <xf numFmtId="174" fontId="21" fillId="0" borderId="22" xfId="10" applyNumberFormat="1" applyFont="1" applyBorder="1"/>
    <xf numFmtId="174" fontId="21" fillId="0" borderId="21" xfId="10" applyNumberFormat="1" applyFont="1" applyBorder="1"/>
    <xf numFmtId="174" fontId="21" fillId="0" borderId="20" xfId="10" applyNumberFormat="1" applyFont="1" applyBorder="1"/>
    <xf numFmtId="174" fontId="21" fillId="0" borderId="16" xfId="10" applyNumberFormat="1" applyFont="1" applyBorder="1"/>
    <xf numFmtId="174" fontId="21" fillId="2" borderId="6" xfId="10" applyNumberFormat="1" applyFont="1" applyFill="1" applyBorder="1"/>
    <xf numFmtId="174" fontId="21" fillId="0" borderId="15" xfId="10" applyNumberFormat="1" applyFont="1" applyBorder="1"/>
    <xf numFmtId="174" fontId="21" fillId="0" borderId="8" xfId="10" applyNumberFormat="1" applyFont="1" applyBorder="1"/>
    <xf numFmtId="174" fontId="21" fillId="0" borderId="7" xfId="10" applyNumberFormat="1" applyFont="1" applyBorder="1"/>
    <xf numFmtId="174" fontId="21" fillId="0" borderId="64" xfId="10" applyNumberFormat="1" applyFont="1" applyBorder="1"/>
    <xf numFmtId="174" fontId="21" fillId="0" borderId="11" xfId="10" applyNumberFormat="1" applyFont="1" applyBorder="1"/>
    <xf numFmtId="174" fontId="21" fillId="0" borderId="32" xfId="10" applyNumberFormat="1" applyFont="1" applyBorder="1" applyAlignment="1">
      <alignment horizontal="right"/>
    </xf>
    <xf numFmtId="174" fontId="0" fillId="21" borderId="41" xfId="10" applyNumberFormat="1" applyFont="1" applyFill="1" applyBorder="1" applyAlignment="1"/>
    <xf numFmtId="174" fontId="21" fillId="0" borderId="12" xfId="10" applyNumberFormat="1" applyFont="1" applyBorder="1"/>
    <xf numFmtId="174" fontId="21" fillId="0" borderId="53" xfId="10" applyNumberFormat="1" applyFont="1" applyBorder="1"/>
    <xf numFmtId="174" fontId="21" fillId="0" borderId="54" xfId="10" applyNumberFormat="1" applyFont="1" applyBorder="1"/>
    <xf numFmtId="174" fontId="21" fillId="0" borderId="19" xfId="10" applyNumberFormat="1" applyFont="1" applyBorder="1" applyAlignment="1">
      <alignment horizontal="right"/>
    </xf>
    <xf numFmtId="174" fontId="21" fillId="0" borderId="6" xfId="10" applyNumberFormat="1" applyFont="1" applyBorder="1"/>
    <xf numFmtId="174" fontId="0" fillId="0" borderId="46" xfId="10" applyNumberFormat="1" applyFont="1" applyBorder="1" applyAlignment="1"/>
    <xf numFmtId="174" fontId="0" fillId="0" borderId="47" xfId="10" applyNumberFormat="1" applyFont="1" applyBorder="1" applyAlignment="1"/>
    <xf numFmtId="174" fontId="21" fillId="0" borderId="32" xfId="10" applyNumberFormat="1" applyFont="1" applyBorder="1"/>
    <xf numFmtId="174" fontId="21" fillId="0" borderId="52" xfId="10" applyNumberFormat="1" applyFont="1" applyBorder="1"/>
    <xf numFmtId="174" fontId="21" fillId="0" borderId="10" xfId="10" applyNumberFormat="1" applyFont="1" applyBorder="1"/>
    <xf numFmtId="174" fontId="21" fillId="0" borderId="9" xfId="10" applyNumberFormat="1" applyFont="1" applyBorder="1"/>
    <xf numFmtId="174" fontId="21" fillId="0" borderId="17" xfId="10" applyNumberFormat="1" applyFont="1" applyBorder="1"/>
    <xf numFmtId="174" fontId="21" fillId="21" borderId="41" xfId="10" applyNumberFormat="1" applyFont="1" applyFill="1" applyBorder="1"/>
    <xf numFmtId="174" fontId="21" fillId="0" borderId="55" xfId="10" applyNumberFormat="1" applyFont="1" applyBorder="1"/>
    <xf numFmtId="174" fontId="21" fillId="0" borderId="48" xfId="10" applyNumberFormat="1" applyFont="1" applyBorder="1"/>
    <xf numFmtId="174" fontId="21" fillId="0" borderId="51" xfId="10" applyNumberFormat="1" applyFont="1" applyBorder="1"/>
    <xf numFmtId="174" fontId="21" fillId="0" borderId="41" xfId="10" applyNumberFormat="1" applyFont="1" applyBorder="1"/>
    <xf numFmtId="169" fontId="9" fillId="0" borderId="0" xfId="1" applyNumberFormat="1" applyFont="1" applyAlignment="1">
      <alignment horizontal="left"/>
    </xf>
    <xf numFmtId="171" fontId="10" fillId="0" borderId="40" xfId="0" applyNumberFormat="1" applyFont="1" applyBorder="1" applyAlignment="1">
      <alignment horizontal="center"/>
    </xf>
    <xf numFmtId="0" fontId="10" fillId="24" borderId="40" xfId="0" applyFont="1" applyFill="1" applyBorder="1" applyAlignment="1">
      <alignment horizontal="center"/>
    </xf>
    <xf numFmtId="0" fontId="10" fillId="20" borderId="40" xfId="0" applyFont="1" applyFill="1" applyBorder="1" applyAlignment="1">
      <alignment horizontal="center"/>
    </xf>
    <xf numFmtId="180" fontId="0" fillId="20" borderId="40" xfId="11" applyNumberFormat="1" applyFont="1" applyFill="1" applyBorder="1"/>
    <xf numFmtId="0" fontId="0" fillId="20" borderId="40" xfId="0" applyFill="1" applyBorder="1" applyAlignment="1">
      <alignment horizontal="center"/>
    </xf>
    <xf numFmtId="180" fontId="0" fillId="20" borderId="40" xfId="0" applyNumberFormat="1" applyFill="1" applyBorder="1"/>
    <xf numFmtId="0" fontId="0" fillId="24" borderId="40" xfId="0" applyFill="1" applyBorder="1" applyAlignment="1">
      <alignment horizontal="center"/>
    </xf>
    <xf numFmtId="169" fontId="8" fillId="0" borderId="0" xfId="1" applyNumberFormat="1" applyFont="1" applyAlignment="1">
      <alignment horizontal="left"/>
    </xf>
    <xf numFmtId="180" fontId="18" fillId="0" borderId="0" xfId="11" applyNumberFormat="1" applyFont="1" applyBorder="1"/>
    <xf numFmtId="180" fontId="0" fillId="0" borderId="71" xfId="0" applyNumberFormat="1" applyBorder="1"/>
    <xf numFmtId="180" fontId="7" fillId="0" borderId="71" xfId="0" applyNumberFormat="1" applyFont="1" applyBorder="1"/>
    <xf numFmtId="169" fontId="6" fillId="0" borderId="0" xfId="1" applyNumberFormat="1" applyFont="1" applyAlignment="1">
      <alignment horizontal="left"/>
    </xf>
    <xf numFmtId="169" fontId="5" fillId="0" borderId="0" xfId="1" applyNumberFormat="1" applyFont="1" applyAlignment="1">
      <alignment horizontal="left"/>
    </xf>
    <xf numFmtId="10" fontId="0" fillId="0" borderId="40" xfId="0" applyNumberFormat="1" applyBorder="1"/>
    <xf numFmtId="173" fontId="0" fillId="0" borderId="72" xfId="0" applyNumberFormat="1" applyBorder="1"/>
    <xf numFmtId="172" fontId="0" fillId="0" borderId="72" xfId="0" applyNumberFormat="1" applyBorder="1"/>
    <xf numFmtId="169" fontId="4" fillId="0" borderId="0" xfId="1" applyNumberFormat="1" applyFont="1" applyAlignment="1">
      <alignment horizontal="left"/>
    </xf>
    <xf numFmtId="169" fontId="3" fillId="0" borderId="0" xfId="1" applyNumberFormat="1" applyFont="1" applyAlignment="1">
      <alignment horizontal="left"/>
    </xf>
    <xf numFmtId="169" fontId="2" fillId="0" borderId="0" xfId="1" applyNumberFormat="1" applyFont="1" applyAlignment="1">
      <alignment horizontal="left"/>
    </xf>
    <xf numFmtId="0" fontId="46" fillId="0" borderId="0" xfId="5" applyFont="1" applyAlignment="1">
      <alignment horizontal="left"/>
    </xf>
    <xf numFmtId="168" fontId="46" fillId="0" borderId="0" xfId="5" applyNumberFormat="1" applyFont="1" applyAlignment="1">
      <alignment horizontal="center"/>
    </xf>
    <xf numFmtId="0" fontId="46" fillId="0" borderId="0" xfId="5" applyFont="1" applyAlignment="1"/>
    <xf numFmtId="169" fontId="46" fillId="0" borderId="0" xfId="1" applyNumberFormat="1" applyFont="1" applyAlignment="1"/>
    <xf numFmtId="175" fontId="46" fillId="0" borderId="0" xfId="1" applyNumberFormat="1" applyFont="1" applyAlignment="1"/>
    <xf numFmtId="177" fontId="46" fillId="0" borderId="0" xfId="1" applyNumberFormat="1" applyFont="1" applyAlignment="1"/>
    <xf numFmtId="180" fontId="28" fillId="4" borderId="0" xfId="11" applyNumberFormat="1" applyFont="1" applyFill="1" applyAlignment="1"/>
    <xf numFmtId="169" fontId="1" fillId="0" borderId="0" xfId="1" applyNumberFormat="1" applyFont="1" applyAlignment="1">
      <alignment horizontal="left"/>
    </xf>
    <xf numFmtId="172" fontId="18" fillId="9" borderId="0" xfId="1" applyNumberFormat="1" applyFont="1" applyFill="1" applyBorder="1" applyAlignment="1">
      <alignment horizontal="center"/>
    </xf>
    <xf numFmtId="172" fontId="18" fillId="9" borderId="27" xfId="1" applyNumberFormat="1" applyFont="1" applyFill="1" applyBorder="1" applyAlignment="1">
      <alignment horizontal="center"/>
    </xf>
    <xf numFmtId="174" fontId="33" fillId="10" borderId="33" xfId="10" applyNumberFormat="1" applyFont="1" applyFill="1" applyBorder="1" applyAlignment="1">
      <alignment horizontal="center"/>
    </xf>
    <xf numFmtId="174" fontId="33" fillId="10" borderId="38" xfId="10" applyNumberFormat="1" applyFont="1" applyFill="1" applyBorder="1" applyAlignment="1">
      <alignment horizontal="center"/>
    </xf>
    <xf numFmtId="171" fontId="40" fillId="4" borderId="29" xfId="3" applyNumberFormat="1" applyFont="1" applyBorder="1" applyAlignment="1">
      <alignment horizontal="center"/>
    </xf>
    <xf numFmtId="171" fontId="40" fillId="4" borderId="30" xfId="3" applyNumberFormat="1" applyFont="1" applyBorder="1" applyAlignment="1">
      <alignment horizontal="center"/>
    </xf>
    <xf numFmtId="171" fontId="40" fillId="4" borderId="31" xfId="3" applyNumberFormat="1" applyFont="1" applyBorder="1" applyAlignment="1">
      <alignment horizontal="center"/>
    </xf>
    <xf numFmtId="174" fontId="15" fillId="10" borderId="33" xfId="10" applyNumberFormat="1" applyFont="1" applyFill="1" applyBorder="1" applyAlignment="1">
      <alignment horizontal="center"/>
    </xf>
    <xf numFmtId="174" fontId="15" fillId="10" borderId="38" xfId="10" applyNumberFormat="1" applyFont="1" applyFill="1" applyBorder="1" applyAlignment="1">
      <alignment horizontal="center"/>
    </xf>
    <xf numFmtId="174" fontId="14" fillId="10" borderId="33" xfId="10" applyNumberFormat="1" applyFont="1" applyFill="1" applyBorder="1" applyAlignment="1">
      <alignment horizontal="center"/>
    </xf>
    <xf numFmtId="174" fontId="14" fillId="10" borderId="38" xfId="10" applyNumberFormat="1" applyFont="1" applyFill="1" applyBorder="1" applyAlignment="1">
      <alignment horizontal="center"/>
    </xf>
    <xf numFmtId="174" fontId="12" fillId="10" borderId="33" xfId="10" applyNumberFormat="1" applyFont="1" applyFill="1" applyBorder="1" applyAlignment="1">
      <alignment horizontal="center"/>
    </xf>
    <xf numFmtId="174" fontId="12" fillId="10" borderId="38" xfId="10" applyNumberFormat="1" applyFont="1" applyFill="1" applyBorder="1" applyAlignment="1">
      <alignment horizontal="center"/>
    </xf>
    <xf numFmtId="174" fontId="11" fillId="10" borderId="33" xfId="10" applyNumberFormat="1" applyFont="1" applyFill="1" applyBorder="1" applyAlignment="1">
      <alignment horizontal="center"/>
    </xf>
    <xf numFmtId="174" fontId="11" fillId="10" borderId="38" xfId="10" applyNumberFormat="1" applyFont="1" applyFill="1" applyBorder="1" applyAlignment="1">
      <alignment horizontal="center"/>
    </xf>
    <xf numFmtId="171" fontId="18" fillId="18" borderId="32" xfId="0" applyNumberFormat="1" applyFont="1" applyFill="1" applyBorder="1" applyAlignment="1">
      <alignment horizontal="center"/>
    </xf>
    <xf numFmtId="171" fontId="0" fillId="18" borderId="0" xfId="0" applyNumberFormat="1" applyFill="1" applyBorder="1" applyAlignment="1">
      <alignment horizontal="center"/>
    </xf>
    <xf numFmtId="171" fontId="0" fillId="18" borderId="33" xfId="0" applyNumberFormat="1" applyFill="1" applyBorder="1" applyAlignment="1">
      <alignment horizontal="center"/>
    </xf>
    <xf numFmtId="171" fontId="18" fillId="16" borderId="29" xfId="0" applyNumberFormat="1" applyFont="1" applyFill="1" applyBorder="1" applyAlignment="1">
      <alignment horizontal="center"/>
    </xf>
    <xf numFmtId="171" fontId="0" fillId="16" borderId="30" xfId="0" applyNumberFormat="1" applyFill="1" applyBorder="1" applyAlignment="1">
      <alignment horizontal="center"/>
    </xf>
    <xf numFmtId="171" fontId="0" fillId="16" borderId="31" xfId="0" applyNumberFormat="1" applyFill="1" applyBorder="1" applyAlignment="1">
      <alignment horizontal="center"/>
    </xf>
    <xf numFmtId="172" fontId="29" fillId="5" borderId="32" xfId="1" applyNumberFormat="1" applyFont="1" applyFill="1" applyBorder="1" applyAlignment="1">
      <alignment horizontal="center"/>
    </xf>
    <xf numFmtId="172" fontId="29" fillId="5" borderId="0" xfId="1" applyNumberFormat="1" applyFont="1" applyFill="1" applyBorder="1" applyAlignment="1">
      <alignment horizontal="center"/>
    </xf>
    <xf numFmtId="172" fontId="29" fillId="5" borderId="33" xfId="1" applyNumberFormat="1" applyFont="1" applyFill="1" applyBorder="1" applyAlignment="1">
      <alignment horizontal="center"/>
    </xf>
    <xf numFmtId="172" fontId="28" fillId="4" borderId="32" xfId="1" applyNumberFormat="1" applyFont="1" applyFill="1" applyBorder="1" applyAlignment="1">
      <alignment horizontal="center"/>
    </xf>
    <xf numFmtId="172" fontId="28" fillId="4" borderId="0" xfId="1" applyNumberFormat="1" applyFont="1" applyFill="1" applyBorder="1" applyAlignment="1">
      <alignment horizontal="center"/>
    </xf>
    <xf numFmtId="172" fontId="28" fillId="4" borderId="33" xfId="1" applyNumberFormat="1" applyFont="1" applyFill="1" applyBorder="1" applyAlignment="1">
      <alignment horizontal="center"/>
    </xf>
    <xf numFmtId="172" fontId="18" fillId="9" borderId="35" xfId="1" applyNumberFormat="1" applyFont="1" applyFill="1" applyBorder="1" applyAlignment="1">
      <alignment horizontal="center"/>
    </xf>
    <xf numFmtId="0" fontId="30" fillId="3" borderId="0" xfId="2" applyFont="1" applyAlignment="1">
      <alignment horizontal="center"/>
    </xf>
    <xf numFmtId="0" fontId="31" fillId="5" borderId="0" xfId="4" applyFont="1" applyAlignment="1">
      <alignment horizontal="center"/>
    </xf>
    <xf numFmtId="0" fontId="32" fillId="4" borderId="0" xfId="3" applyFont="1" applyAlignment="1">
      <alignment horizontal="center"/>
    </xf>
    <xf numFmtId="0" fontId="36" fillId="4" borderId="0" xfId="3" applyFont="1" applyBorder="1" applyAlignment="1">
      <alignment horizontal="center"/>
    </xf>
    <xf numFmtId="180" fontId="21" fillId="21" borderId="10" xfId="11" applyNumberFormat="1" applyFont="1" applyFill="1" applyBorder="1" applyAlignment="1">
      <alignment horizontal="center"/>
    </xf>
    <xf numFmtId="180" fontId="21" fillId="21" borderId="56" xfId="11" applyNumberFormat="1" applyFont="1" applyFill="1" applyBorder="1" applyAlignment="1">
      <alignment horizontal="center"/>
    </xf>
    <xf numFmtId="167" fontId="21" fillId="21" borderId="21" xfId="0" applyNumberFormat="1" applyFont="1" applyFill="1" applyBorder="1" applyAlignment="1">
      <alignment horizontal="center"/>
    </xf>
    <xf numFmtId="0" fontId="23" fillId="21" borderId="21" xfId="0" applyFont="1" applyFill="1" applyBorder="1"/>
    <xf numFmtId="0" fontId="21" fillId="21" borderId="40" xfId="0" applyFont="1" applyFill="1" applyBorder="1" applyAlignment="1">
      <alignment horizontal="center"/>
    </xf>
    <xf numFmtId="0" fontId="25" fillId="12" borderId="32" xfId="0" applyFont="1" applyFill="1" applyBorder="1" applyAlignment="1">
      <alignment horizontal="center"/>
    </xf>
    <xf numFmtId="0" fontId="25" fillId="12" borderId="0" xfId="0" applyFont="1" applyFill="1" applyBorder="1" applyAlignment="1">
      <alignment horizontal="center"/>
    </xf>
    <xf numFmtId="0" fontId="22" fillId="20" borderId="44" xfId="0" applyFont="1" applyFill="1" applyBorder="1" applyAlignment="1">
      <alignment horizontal="center"/>
    </xf>
    <xf numFmtId="0" fontId="22" fillId="20" borderId="40" xfId="0" applyFont="1" applyFill="1" applyBorder="1" applyAlignment="1">
      <alignment horizontal="center"/>
    </xf>
    <xf numFmtId="0" fontId="42" fillId="19" borderId="44" xfId="0" applyFont="1" applyFill="1" applyBorder="1" applyAlignment="1">
      <alignment horizontal="center"/>
    </xf>
    <xf numFmtId="0" fontId="42" fillId="19" borderId="40" xfId="0" applyFont="1" applyFill="1" applyBorder="1" applyAlignment="1">
      <alignment horizontal="center"/>
    </xf>
    <xf numFmtId="167" fontId="23" fillId="21" borderId="21" xfId="0" applyNumberFormat="1" applyFont="1" applyFill="1" applyBorder="1"/>
    <xf numFmtId="167" fontId="21" fillId="21" borderId="40" xfId="0" applyNumberFormat="1" applyFont="1" applyFill="1" applyBorder="1" applyAlignment="1">
      <alignment horizontal="center"/>
    </xf>
    <xf numFmtId="167" fontId="25" fillId="12" borderId="32" xfId="0" applyNumberFormat="1" applyFont="1" applyFill="1" applyBorder="1" applyAlignment="1">
      <alignment horizontal="center"/>
    </xf>
    <xf numFmtId="167" fontId="25" fillId="12" borderId="0" xfId="0" applyNumberFormat="1" applyFont="1" applyFill="1" applyBorder="1" applyAlignment="1">
      <alignment horizontal="center"/>
    </xf>
    <xf numFmtId="167" fontId="42" fillId="19" borderId="44" xfId="0" applyNumberFormat="1" applyFont="1" applyFill="1" applyBorder="1" applyAlignment="1">
      <alignment horizontal="center"/>
    </xf>
    <xf numFmtId="167" fontId="42" fillId="19" borderId="40" xfId="0" applyNumberFormat="1" applyFont="1" applyFill="1" applyBorder="1" applyAlignment="1">
      <alignment horizontal="center"/>
    </xf>
    <xf numFmtId="174" fontId="21" fillId="21" borderId="10" xfId="10" applyNumberFormat="1" applyFont="1" applyFill="1" applyBorder="1" applyAlignment="1">
      <alignment horizontal="center"/>
    </xf>
    <xf numFmtId="174" fontId="21" fillId="21" borderId="56" xfId="10" applyNumberFormat="1" applyFont="1" applyFill="1" applyBorder="1" applyAlignment="1">
      <alignment horizontal="center"/>
    </xf>
    <xf numFmtId="174" fontId="21" fillId="21" borderId="21" xfId="10" applyNumberFormat="1" applyFont="1" applyFill="1" applyBorder="1" applyAlignment="1">
      <alignment horizontal="center"/>
    </xf>
    <xf numFmtId="174" fontId="23" fillId="21" borderId="21" xfId="10" applyNumberFormat="1" applyFont="1" applyFill="1" applyBorder="1"/>
    <xf numFmtId="174" fontId="21" fillId="21" borderId="40" xfId="10" applyNumberFormat="1" applyFont="1" applyFill="1" applyBorder="1" applyAlignment="1">
      <alignment horizontal="center"/>
    </xf>
    <xf numFmtId="174" fontId="25" fillId="12" borderId="32" xfId="10" applyNumberFormat="1" applyFont="1" applyFill="1" applyBorder="1" applyAlignment="1">
      <alignment horizontal="center"/>
    </xf>
    <xf numFmtId="174" fontId="25" fillId="12" borderId="0" xfId="10" applyNumberFormat="1" applyFont="1" applyFill="1" applyBorder="1" applyAlignment="1">
      <alignment horizontal="center"/>
    </xf>
    <xf numFmtId="167" fontId="22" fillId="20" borderId="44" xfId="0" applyNumberFormat="1" applyFont="1" applyFill="1" applyBorder="1" applyAlignment="1">
      <alignment horizontal="center"/>
    </xf>
    <xf numFmtId="167" fontId="22" fillId="20" borderId="40" xfId="0" applyNumberFormat="1" applyFont="1" applyFill="1" applyBorder="1" applyAlignment="1">
      <alignment horizontal="center"/>
    </xf>
    <xf numFmtId="167" fontId="21" fillId="2" borderId="10" xfId="0" applyNumberFormat="1" applyFont="1" applyFill="1" applyBorder="1" applyAlignment="1">
      <alignment horizontal="center"/>
    </xf>
    <xf numFmtId="167" fontId="21" fillId="2" borderId="9" xfId="0" applyNumberFormat="1" applyFont="1" applyFill="1" applyBorder="1" applyAlignment="1">
      <alignment horizontal="center"/>
    </xf>
    <xf numFmtId="0" fontId="21" fillId="12" borderId="0" xfId="0" applyFont="1" applyFill="1" applyBorder="1" applyAlignment="1">
      <alignment horizontal="center"/>
    </xf>
    <xf numFmtId="167" fontId="21" fillId="12" borderId="0" xfId="0" applyNumberFormat="1" applyFont="1" applyFill="1" applyBorder="1" applyAlignment="1">
      <alignment horizontal="center"/>
    </xf>
    <xf numFmtId="0" fontId="23" fillId="12" borderId="0" xfId="0" applyFont="1" applyFill="1" applyBorder="1"/>
    <xf numFmtId="167" fontId="23" fillId="12" borderId="0" xfId="0" applyNumberFormat="1" applyFont="1" applyFill="1" applyBorder="1"/>
  </cellXfs>
  <cellStyles count="12">
    <cellStyle name="60% - Énfasis4" xfId="9" builtinId="44"/>
    <cellStyle name="60% - Énfasis6" xfId="4" builtinId="52"/>
    <cellStyle name="Énfasis2" xfId="8" builtinId="33"/>
    <cellStyle name="Incorrecto" xfId="2" builtinId="27"/>
    <cellStyle name="Millares" xfId="10" builtinId="3"/>
    <cellStyle name="Moneda" xfId="11" builtinId="4"/>
    <cellStyle name="Moneda [0]" xfId="1" builtinId="7"/>
    <cellStyle name="Neutral" xfId="3" builtinId="28"/>
    <cellStyle name="Normal" xfId="0" builtinId="0"/>
    <cellStyle name="Normal 2" xfId="5"/>
    <cellStyle name="Notas" xfId="7" builtinId="10"/>
    <cellStyle name="Porcentaje" xfId="6" builtinId="5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numFmt numFmtId="169" formatCode="[$$-2C0A]\ #,##0"/>
      <fill>
        <patternFill patternType="solid">
          <fgColor indexed="64"/>
          <bgColor rgb="FFFFEB9C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  <border diagonalUp="0" diagonalDown="0" outline="0">
        <left/>
        <right style="thin">
          <color indexed="64"/>
        </right>
        <top/>
        <bottom/>
      </border>
    </dxf>
    <dxf>
      <numFmt numFmtId="169" formatCode="[$$-2C0A]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77" formatCode="[$$-45C]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75" formatCode="_-[$$-1004]* #,##0.00_ ;_-[$$-1004]* \-#,##0.00\ ;_-[$$-1004]* &quot;-&quot;??_ ;_-@_ 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75" formatCode="_-[$$-1004]* #,##0.00_ ;_-[$$-1004]* \-#,##0.00\ ;_-[$$-1004]* &quot;-&quot;??_ ;_-@_ 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75" formatCode="_-[$$-1004]* #,##0.00_ ;_-[$$-1004]* \-#,##0.00\ ;_-[$$-1004]* &quot;-&quot;??_ ;_-@_ 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[$$-2C0A]\ #,##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</dxf>
    <dxf>
      <numFmt numFmtId="169" formatCode="[$$-2C0A]\ 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accent1"/>
                </a:solidFill>
                <a:latin typeface="Arial Black" panose="020B0A04020102020204" pitchFamily="34" charset="0"/>
                <a:ea typeface="+mj-ea"/>
                <a:cs typeface="+mj-cs"/>
              </a:defRPr>
            </a:pPr>
            <a:r>
              <a:rPr lang="es-AR">
                <a:solidFill>
                  <a:schemeClr val="accent1"/>
                </a:solidFill>
                <a:latin typeface="Arial Black" panose="020B0A04020102020204" pitchFamily="34" charset="0"/>
              </a:rPr>
              <a:t>Ingresos Semanales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accent1"/>
              </a:solidFill>
              <a:latin typeface="Arial Black" panose="020B0A04020102020204" pitchFamily="34" charset="0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RESUMEN!$A$4:$A$26</c:f>
            </c:multiLvlStrRef>
          </c:cat>
          <c:val>
            <c:numRef>
              <c:f>RESUMEN!$G$4:$G$27</c:f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RESUMEN!$A$4:$A$26</c:f>
            </c:multiLvlStrRef>
          </c:cat>
          <c:val>
            <c:numRef>
              <c:f>RESUMEN!$A$5:$A$25</c:f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RESUMEN!$A$4:$A$26</c:f>
            </c:multiLvlStrRef>
          </c:cat>
          <c:val>
            <c:numRef>
              <c:f>RESUMEN!$A$4:$A$27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100255152"/>
        <c:axId val="-1100253520"/>
      </c:barChart>
      <c:catAx>
        <c:axId val="-110025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53520"/>
        <c:crosses val="autoZero"/>
        <c:auto val="1"/>
        <c:lblAlgn val="ctr"/>
        <c:lblOffset val="100"/>
        <c:noMultiLvlLbl val="0"/>
      </c:catAx>
      <c:valAx>
        <c:axId val="-11002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5515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Recaudacion/Saldo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 w="57150">
              <a:noFill/>
            </a:ln>
            <a:effectLst/>
          </c:spPr>
          <c:invertIfNegative val="0"/>
          <c:dLbls>
            <c:delete val="1"/>
          </c:dLbls>
          <c:cat>
            <c:strRef>
              <c:f>RESUMEN!$A$55:$A$66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RESUMEN!$B$55:$B$66</c:f>
              <c:numCache>
                <c:formatCode>_-[$$-2C0A]\ * #,##0_-;\-[$$-2C0A]\ * #,##0_-;_-[$$-2C0A]\ * "-"_-;_-@_-</c:formatCode>
                <c:ptCount val="12"/>
                <c:pt idx="0">
                  <c:v>15510435</c:v>
                </c:pt>
                <c:pt idx="1">
                  <c:v>9265750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RESUMEN!$C$55:$C$61</c:f>
              <c:strCache>
                <c:ptCount val="7"/>
                <c:pt idx="0">
                  <c:v> $ 10.719.235 </c:v>
                </c:pt>
                <c:pt idx="1">
                  <c:v> $ 20.772.865 </c:v>
                </c:pt>
                <c:pt idx="2">
                  <c:v> $ - </c:v>
                </c:pt>
                <c:pt idx="3">
                  <c:v> $ - </c:v>
                </c:pt>
                <c:pt idx="4">
                  <c:v> $ - </c:v>
                </c:pt>
                <c:pt idx="5">
                  <c:v> $ - </c:v>
                </c:pt>
                <c:pt idx="6">
                  <c:v> $ -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RESUMEN!$A$55:$A$66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2"/>
          <c:order val="2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RESUMEN!$A$55:$A$66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RESUMEN!$C$55:$C$66</c:f>
              <c:numCache>
                <c:formatCode>_-[$$-2C0A]\ * #,##0_-;\-[$$-2C0A]\ * #,##0_-;_-[$$-2C0A]\ * "-"_-;_-@_-</c:formatCode>
                <c:ptCount val="12"/>
                <c:pt idx="0">
                  <c:v>10719235</c:v>
                </c:pt>
                <c:pt idx="1">
                  <c:v>20772865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-1100259504"/>
        <c:axId val="-1100250256"/>
      </c:barChart>
      <c:catAx>
        <c:axId val="-110025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50256"/>
        <c:crosses val="autoZero"/>
        <c:auto val="1"/>
        <c:lblAlgn val="ctr"/>
        <c:lblOffset val="100"/>
        <c:noMultiLvlLbl val="0"/>
      </c:catAx>
      <c:valAx>
        <c:axId val="-1100250256"/>
        <c:scaling>
          <c:orientation val="minMax"/>
        </c:scaling>
        <c:delete val="1"/>
        <c:axPos val="l"/>
        <c:numFmt formatCode="_-[$$-2C0A]\ * #,##0_-;\-[$$-2C0A]\ * #,##0_-;_-[$$-2C0A]\ * &quot;-&quot;_-;_-@_-" sourceLinked="1"/>
        <c:majorTickMark val="none"/>
        <c:minorTickMark val="none"/>
        <c:tickLblPos val="nextTo"/>
        <c:crossAx val="-11002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RESUMEN!$K$55:$K$67</c:f>
              <c:numCache>
                <c:formatCode>_-* #,##0.00\ _€_-;\-* #,##0.00\ _€_-;_-* "-"??\ _€_-;_-@_-</c:formatCode>
                <c:ptCount val="13"/>
                <c:pt idx="0">
                  <c:v>151.59367625730675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100251888"/>
        <c:axId val="-1100249168"/>
      </c:barChart>
      <c:catAx>
        <c:axId val="-110025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49168"/>
        <c:crosses val="autoZero"/>
        <c:auto val="1"/>
        <c:lblAlgn val="ctr"/>
        <c:lblOffset val="100"/>
        <c:noMultiLvlLbl val="0"/>
      </c:catAx>
      <c:valAx>
        <c:axId val="-110024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_€_-;\-* #,##0.0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5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RESUMEN!$A$74:$A$85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RESUMEN!$B$74:$B$85</c:f>
              <c:numCache>
                <c:formatCode>_-[$$-2C0A]\ * #,##0_-;\-[$$-2C0A]\ * #,##0_-;_-[$$-2C0A]\ * "-"_-;_-@_-</c:formatCode>
                <c:ptCount val="12"/>
                <c:pt idx="0">
                  <c:v>-8002403.6199999973</c:v>
                </c:pt>
                <c:pt idx="1">
                  <c:v>9265750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100248624"/>
        <c:axId val="-1100260592"/>
      </c:barChart>
      <c:catAx>
        <c:axId val="-110024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60592"/>
        <c:crosses val="autoZero"/>
        <c:auto val="1"/>
        <c:lblAlgn val="ctr"/>
        <c:lblOffset val="100"/>
        <c:noMultiLvlLbl val="0"/>
      </c:catAx>
      <c:valAx>
        <c:axId val="-11002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4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Utilidad/facturacion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1262521103621911E-2"/>
          <c:y val="0.16470833333333335"/>
          <c:w val="0.94709419505540904"/>
          <c:h val="0.74636778215223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RESUMEN!$C$74:$C$85</c:f>
              <c:numCache>
                <c:formatCode>_-* #,##0.00\ _€_-;\-* #,##0.00\ _€_-;_-* "-"??\ _€_-;_-@_-</c:formatCode>
                <c:ptCount val="12"/>
                <c:pt idx="0">
                  <c:v>-51.593676257306761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100248080"/>
        <c:axId val="-1100252976"/>
      </c:barChart>
      <c:catAx>
        <c:axId val="-110024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52976"/>
        <c:crosses val="autoZero"/>
        <c:auto val="1"/>
        <c:lblAlgn val="ctr"/>
        <c:lblOffset val="100"/>
        <c:noMultiLvlLbl val="0"/>
      </c:catAx>
      <c:valAx>
        <c:axId val="-1100252976"/>
        <c:scaling>
          <c:orientation val="minMax"/>
        </c:scaling>
        <c:delete val="1"/>
        <c:axPos val="l"/>
        <c:numFmt formatCode="_-* #,##0.00\ _€_-;\-* #,##0.00\ _€_-;_-* &quot;-&quot;??\ _€_-;_-@_-" sourceLinked="1"/>
        <c:majorTickMark val="none"/>
        <c:minorTickMark val="none"/>
        <c:tickLblPos val="nextTo"/>
        <c:crossAx val="-110024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mes a mes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RESUMEN!$I$55:$I$66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RESUMEN!$J$55:$J$66</c:f>
              <c:numCache>
                <c:formatCode>[$$-2C0A]\ #,##0;\-[$$-2C0A]\ #,##0</c:formatCode>
                <c:ptCount val="12"/>
                <c:pt idx="0">
                  <c:v>23512838.619999997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_-&quot;$&quot;\ * #,##0_-;\-&quot;$&quot;\ * #,##0_-;_-&quot;$&quot;\ * &quot;-&quot;??_-;_-@_-">
                  <c:v>0</c:v>
                </c:pt>
                <c:pt idx="10" formatCode="_-&quot;$&quot;\ * #,##0_-;\-&quot;$&quot;\ * #,##0_-;_-&quot;$&quot;\ * &quot;-&quot;??_-;_-@_-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100254608"/>
        <c:axId val="-1100260048"/>
      </c:barChart>
      <c:catAx>
        <c:axId val="-110025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60048"/>
        <c:crosses val="autoZero"/>
        <c:auto val="1"/>
        <c:lblAlgn val="ctr"/>
        <c:lblOffset val="100"/>
        <c:noMultiLvlLbl val="0"/>
      </c:catAx>
      <c:valAx>
        <c:axId val="-11002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;\-[$$-2C0A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5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sobre facturacion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3160452713895515"/>
          <c:y val="0.17115557702966341"/>
          <c:w val="0.85210587894009893"/>
          <c:h val="0.754842640790153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RESUMEN!$K$55:$K$66</c:f>
              <c:numCache>
                <c:formatCode>_-* #,##0.00\ _€_-;\-* #,##0.00\ _€_-;_-* "-"??\ _€_-;_-@_-</c:formatCode>
                <c:ptCount val="12"/>
                <c:pt idx="0">
                  <c:v>151.59367625730675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100251344"/>
        <c:axId val="-1100258960"/>
      </c:barChart>
      <c:catAx>
        <c:axId val="-110025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100258960"/>
        <c:crosses val="autoZero"/>
        <c:auto val="1"/>
        <c:lblAlgn val="ctr"/>
        <c:lblOffset val="100"/>
        <c:noMultiLvlLbl val="0"/>
      </c:catAx>
      <c:valAx>
        <c:axId val="-1100258960"/>
        <c:scaling>
          <c:orientation val="minMax"/>
        </c:scaling>
        <c:delete val="1"/>
        <c:axPos val="l"/>
        <c:numFmt formatCode="_-* #,##0.00\ _€_-;\-* #,##0.00\ _€_-;_-* &quot;-&quot;??\ _€_-;_-@_-" sourceLinked="1"/>
        <c:majorTickMark val="none"/>
        <c:minorTickMark val="none"/>
        <c:tickLblPos val="nextTo"/>
        <c:crossAx val="-11002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195790</xdr:colOff>
      <xdr:row>0</xdr:row>
      <xdr:rowOff>200022</xdr:rowOff>
    </xdr:from>
    <xdr:to>
      <xdr:col>16</xdr:col>
      <xdr:colOff>254000</xdr:colOff>
      <xdr:row>26</xdr:row>
      <xdr:rowOff>191772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202406</xdr:colOff>
      <xdr:row>53</xdr:row>
      <xdr:rowOff>39290</xdr:rowOff>
    </xdr:from>
    <xdr:to>
      <xdr:col>7</xdr:col>
      <xdr:colOff>869156</xdr:colOff>
      <xdr:row>67</xdr:row>
      <xdr:rowOff>115490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814917</xdr:colOff>
      <xdr:row>82</xdr:row>
      <xdr:rowOff>10582</xdr:rowOff>
    </xdr:from>
    <xdr:to>
      <xdr:col>13</xdr:col>
      <xdr:colOff>3386</xdr:colOff>
      <xdr:row>82</xdr:row>
      <xdr:rowOff>56301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264582</xdr:colOff>
      <xdr:row>71</xdr:row>
      <xdr:rowOff>157690</xdr:rowOff>
    </xdr:from>
    <xdr:to>
      <xdr:col>9</xdr:col>
      <xdr:colOff>10583</xdr:colOff>
      <xdr:row>88</xdr:row>
      <xdr:rowOff>179915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264582</xdr:colOff>
      <xdr:row>71</xdr:row>
      <xdr:rowOff>148165</xdr:rowOff>
    </xdr:from>
    <xdr:to>
      <xdr:col>15</xdr:col>
      <xdr:colOff>42334</xdr:colOff>
      <xdr:row>89</xdr:row>
      <xdr:rowOff>10582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201082</xdr:colOff>
      <xdr:row>51</xdr:row>
      <xdr:rowOff>189441</xdr:rowOff>
    </xdr:from>
    <xdr:to>
      <xdr:col>16</xdr:col>
      <xdr:colOff>508000</xdr:colOff>
      <xdr:row>68</xdr:row>
      <xdr:rowOff>105833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10583</xdr:colOff>
      <xdr:row>51</xdr:row>
      <xdr:rowOff>178858</xdr:rowOff>
    </xdr:from>
    <xdr:to>
      <xdr:col>23</xdr:col>
      <xdr:colOff>158750</xdr:colOff>
      <xdr:row>68</xdr:row>
      <xdr:rowOff>127000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COBRO%20DE%20ALQUILERS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UARIO/Downloads/_COBRO%20DE%20ALQUILERS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BRO%20DE%20ALQUILERS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MIGUEL\Libro%202022\COBRO_DE_ALQUILERS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ESES"/>
      <sheetName val="MATRIZ"/>
      <sheetName val="P001"/>
      <sheetName val="P004"/>
      <sheetName val="P002"/>
      <sheetName val="P003"/>
      <sheetName val="P005"/>
      <sheetName val="P006"/>
      <sheetName val="P007"/>
      <sheetName val="P009"/>
      <sheetName val="P008"/>
      <sheetName val="P010"/>
      <sheetName val="P011"/>
      <sheetName val="P012"/>
      <sheetName val="PO16"/>
      <sheetName val="Hoja 1"/>
      <sheetName val="P014"/>
      <sheetName val="P015"/>
      <sheetName val="P017"/>
      <sheetName val="P018"/>
      <sheetName val="P019"/>
      <sheetName val="P020"/>
      <sheetName val="P022"/>
      <sheetName val="P023"/>
      <sheetName val="P021"/>
      <sheetName val="P024"/>
      <sheetName val="P025"/>
      <sheetName val="P031"/>
      <sheetName val="P026"/>
      <sheetName val="P027"/>
      <sheetName val="P028"/>
      <sheetName val="P029"/>
      <sheetName val="P030"/>
      <sheetName val="P032"/>
      <sheetName val="P033"/>
      <sheetName val="P034"/>
      <sheetName val="P035"/>
      <sheetName val="PO36"/>
      <sheetName val="PO37"/>
      <sheetName val="P039"/>
      <sheetName val="P038"/>
      <sheetName val="P044"/>
      <sheetName val="P040"/>
      <sheetName val="P041"/>
      <sheetName val="P042"/>
      <sheetName val="P043"/>
      <sheetName val="P045"/>
      <sheetName val="P046"/>
      <sheetName val="P047"/>
      <sheetName val="P048"/>
      <sheetName val="P049"/>
      <sheetName val="P050"/>
      <sheetName val="P051"/>
      <sheetName val="P052"/>
      <sheetName val="P053"/>
      <sheetName val="P054"/>
      <sheetName val="P059"/>
      <sheetName val="P055"/>
      <sheetName val="P056"/>
      <sheetName val="P057"/>
      <sheetName val="P058"/>
      <sheetName val="P060"/>
      <sheetName val="P061"/>
      <sheetName val="P062"/>
      <sheetName val="P063"/>
      <sheetName val="P064"/>
      <sheetName val="P065"/>
      <sheetName val="P066"/>
      <sheetName val="P067"/>
      <sheetName val="P068"/>
      <sheetName val="P069"/>
      <sheetName val="P070"/>
      <sheetName val="P071"/>
      <sheetName val="P072"/>
      <sheetName val="P073"/>
      <sheetName val="PO73"/>
      <sheetName val="P075"/>
      <sheetName val="P080"/>
      <sheetName val="P076"/>
      <sheetName val="P077"/>
      <sheetName val="P078"/>
      <sheetName val="P079"/>
      <sheetName val="P081"/>
      <sheetName val="P082"/>
      <sheetName val="P083"/>
      <sheetName val="P084"/>
      <sheetName val="P085"/>
      <sheetName val="P086"/>
      <sheetName val="P099"/>
      <sheetName val="P087"/>
      <sheetName val="P088"/>
      <sheetName val="P089"/>
      <sheetName val="P090"/>
      <sheetName val="P091"/>
      <sheetName val="P092"/>
      <sheetName val="P093"/>
      <sheetName val="P094"/>
      <sheetName val="P095"/>
      <sheetName val="P096"/>
      <sheetName val="P097"/>
      <sheetName val="P098"/>
      <sheetName val="P100"/>
      <sheetName val="P101"/>
      <sheetName val="P102"/>
      <sheetName val="P103"/>
      <sheetName val="P104"/>
      <sheetName val="P105"/>
      <sheetName val="P106"/>
      <sheetName val="P108"/>
      <sheetName val="P109"/>
      <sheetName val="P110"/>
      <sheetName val="P111"/>
      <sheetName val="P107"/>
      <sheetName val="P112"/>
      <sheetName val="53B"/>
      <sheetName val="P114"/>
      <sheetName val="P115"/>
      <sheetName val="P116"/>
      <sheetName val="P117"/>
      <sheetName val="P117B"/>
      <sheetName val="P117C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127"/>
      <sheetName val="PTO124"/>
      <sheetName val="P128"/>
      <sheetName val="P129"/>
      <sheetName val="P130"/>
      <sheetName val="L001"/>
      <sheetName val="L002"/>
      <sheetName val="L003"/>
      <sheetName val="L004"/>
      <sheetName val="L005"/>
      <sheetName val="L006"/>
      <sheetName val="L007"/>
      <sheetName val="L008"/>
      <sheetName val="L009"/>
      <sheetName val="L010"/>
      <sheetName val="L014"/>
      <sheetName val="L011"/>
      <sheetName val="L012"/>
      <sheetName val="L013"/>
      <sheetName val="L015"/>
      <sheetName val="L016"/>
      <sheetName val="L017"/>
      <sheetName val="L018"/>
      <sheetName val="L019"/>
      <sheetName val="L021"/>
      <sheetName val="L020"/>
      <sheetName val="L022"/>
      <sheetName val="L027"/>
      <sheetName val="L023"/>
      <sheetName val="L024"/>
      <sheetName val="L025"/>
      <sheetName val="L026"/>
      <sheetName val="L030"/>
      <sheetName val="L028"/>
      <sheetName val="L029"/>
      <sheetName val="L030B"/>
      <sheetName val="L031"/>
      <sheetName val="L032"/>
      <sheetName val="L033"/>
      <sheetName val="L034"/>
      <sheetName val="LO35"/>
      <sheetName val="L036"/>
      <sheetName val="I001"/>
      <sheetName val="I002"/>
      <sheetName val="I003"/>
      <sheetName val="I004"/>
      <sheetName val="I005"/>
      <sheetName val="I006"/>
      <sheetName val="I007"/>
      <sheetName val="I008"/>
      <sheetName val="I009"/>
      <sheetName val="I010"/>
      <sheetName val="I011"/>
      <sheetName val="I012"/>
      <sheetName val="I013"/>
      <sheetName val="I014"/>
      <sheetName val="I015"/>
      <sheetName val="I016"/>
      <sheetName val="I017"/>
      <sheetName val="I018"/>
      <sheetName val="I019"/>
      <sheetName val="I020"/>
      <sheetName val="I021"/>
      <sheetName val="I022"/>
      <sheetName val="I023"/>
      <sheetName val="I024"/>
      <sheetName val="I025"/>
      <sheetName val="PC002"/>
      <sheetName val="PC003"/>
      <sheetName val="PC004"/>
      <sheetName val="PC005"/>
      <sheetName val="PC006"/>
      <sheetName val="PC001"/>
      <sheetName val="Gráfico1"/>
      <sheetName val="LAVADERO"/>
      <sheetName val="KIOSKO"/>
      <sheetName val="Hoja2"/>
    </sheetNames>
    <sheetDataSet>
      <sheetData sheetId="0"/>
      <sheetData sheetId="1"/>
      <sheetData sheetId="2">
        <row r="5">
          <cell r="K5">
            <v>0</v>
          </cell>
          <cell r="L5">
            <v>1183800</v>
          </cell>
        </row>
        <row r="6">
          <cell r="B6">
            <v>1183800</v>
          </cell>
          <cell r="K6">
            <v>0</v>
          </cell>
          <cell r="L6">
            <v>1183800</v>
          </cell>
        </row>
      </sheetData>
      <sheetData sheetId="3">
        <row r="5">
          <cell r="K5">
            <v>0</v>
          </cell>
        </row>
      </sheetData>
      <sheetData sheetId="4"/>
      <sheetData sheetId="5"/>
      <sheetData sheetId="6">
        <row r="5">
          <cell r="K5">
            <v>0</v>
          </cell>
          <cell r="L5">
            <v>177600</v>
          </cell>
        </row>
        <row r="6">
          <cell r="B6">
            <v>177600</v>
          </cell>
          <cell r="K6">
            <v>0</v>
          </cell>
          <cell r="L6">
            <v>177600</v>
          </cell>
        </row>
      </sheetData>
      <sheetData sheetId="7">
        <row r="5">
          <cell r="K5">
            <v>0</v>
          </cell>
          <cell r="L5">
            <v>177600</v>
          </cell>
        </row>
        <row r="6">
          <cell r="B6">
            <v>177600</v>
          </cell>
          <cell r="K6">
            <v>177600</v>
          </cell>
          <cell r="L6">
            <v>0</v>
          </cell>
        </row>
      </sheetData>
      <sheetData sheetId="8"/>
      <sheetData sheetId="9"/>
      <sheetData sheetId="10">
        <row r="5">
          <cell r="K5">
            <v>0</v>
          </cell>
          <cell r="L5">
            <v>355300</v>
          </cell>
        </row>
        <row r="6">
          <cell r="B6">
            <v>355300</v>
          </cell>
          <cell r="K6">
            <v>0</v>
          </cell>
          <cell r="L6">
            <v>355300</v>
          </cell>
        </row>
      </sheetData>
      <sheetData sheetId="11">
        <row r="5">
          <cell r="K5">
            <v>532800</v>
          </cell>
          <cell r="L5">
            <v>0</v>
          </cell>
        </row>
        <row r="6">
          <cell r="B6">
            <v>532800</v>
          </cell>
          <cell r="L6">
            <v>0</v>
          </cell>
        </row>
      </sheetData>
      <sheetData sheetId="12"/>
      <sheetData sheetId="13">
        <row r="5">
          <cell r="K5">
            <v>0</v>
          </cell>
          <cell r="L5">
            <v>1821900</v>
          </cell>
        </row>
        <row r="6">
          <cell r="B6">
            <v>1821900</v>
          </cell>
          <cell r="K6">
            <v>0</v>
          </cell>
          <cell r="L6">
            <v>1821900</v>
          </cell>
        </row>
      </sheetData>
      <sheetData sheetId="14">
        <row r="5">
          <cell r="K5">
            <v>710600</v>
          </cell>
          <cell r="L5">
            <v>0</v>
          </cell>
        </row>
        <row r="6">
          <cell r="B6">
            <v>710600</v>
          </cell>
          <cell r="K6">
            <v>710600</v>
          </cell>
          <cell r="L6">
            <v>0</v>
          </cell>
        </row>
      </sheetData>
      <sheetData sheetId="15"/>
      <sheetData sheetId="16"/>
      <sheetData sheetId="17"/>
      <sheetData sheetId="18">
        <row r="5">
          <cell r="K5">
            <v>177600</v>
          </cell>
          <cell r="L5">
            <v>0</v>
          </cell>
        </row>
        <row r="6">
          <cell r="B6">
            <v>177600</v>
          </cell>
          <cell r="K6">
            <v>177600</v>
          </cell>
          <cell r="L6">
            <v>0</v>
          </cell>
        </row>
      </sheetData>
      <sheetData sheetId="19"/>
      <sheetData sheetId="20"/>
      <sheetData sheetId="21"/>
      <sheetData sheetId="22"/>
      <sheetData sheetId="23"/>
      <sheetData sheetId="24">
        <row r="5">
          <cell r="K5">
            <v>710435</v>
          </cell>
          <cell r="L5">
            <v>710435</v>
          </cell>
        </row>
        <row r="6">
          <cell r="B6">
            <v>710435</v>
          </cell>
          <cell r="K6">
            <v>710435</v>
          </cell>
          <cell r="L6">
            <v>0</v>
          </cell>
        </row>
      </sheetData>
      <sheetData sheetId="25">
        <row r="5">
          <cell r="K5">
            <v>0</v>
          </cell>
          <cell r="L5">
            <v>13500</v>
          </cell>
        </row>
        <row r="6">
          <cell r="B6">
            <v>355200</v>
          </cell>
          <cell r="K6">
            <v>355200</v>
          </cell>
          <cell r="L6">
            <v>0</v>
          </cell>
        </row>
      </sheetData>
      <sheetData sheetId="26">
        <row r="5">
          <cell r="K5">
            <v>0</v>
          </cell>
          <cell r="L5">
            <v>177600</v>
          </cell>
        </row>
        <row r="6">
          <cell r="B6">
            <v>177600</v>
          </cell>
          <cell r="K6">
            <v>177600</v>
          </cell>
          <cell r="L6">
            <v>0</v>
          </cell>
        </row>
      </sheetData>
      <sheetData sheetId="27">
        <row r="5">
          <cell r="K5">
            <v>0</v>
          </cell>
          <cell r="L5">
            <v>2294100</v>
          </cell>
        </row>
        <row r="6">
          <cell r="B6">
            <v>2294100</v>
          </cell>
          <cell r="K6">
            <v>794200</v>
          </cell>
          <cell r="L6">
            <v>1499900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5">
          <cell r="K5">
            <v>42200</v>
          </cell>
          <cell r="L5">
            <v>313000</v>
          </cell>
        </row>
        <row r="6">
          <cell r="K6">
            <v>355200</v>
          </cell>
          <cell r="L6">
            <v>0</v>
          </cell>
        </row>
      </sheetData>
      <sheetData sheetId="38">
        <row r="5">
          <cell r="K5">
            <v>177600</v>
          </cell>
          <cell r="L5">
            <v>0</v>
          </cell>
        </row>
        <row r="6">
          <cell r="B6">
            <v>177600</v>
          </cell>
          <cell r="K6">
            <v>177600</v>
          </cell>
          <cell r="L6">
            <v>0</v>
          </cell>
        </row>
      </sheetData>
      <sheetData sheetId="39">
        <row r="5">
          <cell r="K5">
            <v>1421200</v>
          </cell>
          <cell r="L5">
            <v>0</v>
          </cell>
        </row>
        <row r="6">
          <cell r="B6">
            <v>1421200</v>
          </cell>
          <cell r="K6">
            <v>1421200</v>
          </cell>
          <cell r="L6">
            <v>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>
        <row r="5">
          <cell r="K5">
            <v>0</v>
          </cell>
          <cell r="L5">
            <v>535900</v>
          </cell>
        </row>
        <row r="6">
          <cell r="B6">
            <v>535900</v>
          </cell>
          <cell r="K6">
            <v>535900</v>
          </cell>
          <cell r="L6">
            <v>0</v>
          </cell>
        </row>
      </sheetData>
      <sheetData sheetId="48"/>
      <sheetData sheetId="49">
        <row r="5">
          <cell r="K5">
            <v>355200</v>
          </cell>
          <cell r="L5">
            <v>0</v>
          </cell>
        </row>
        <row r="6">
          <cell r="B6">
            <v>355200</v>
          </cell>
          <cell r="K6">
            <v>355200</v>
          </cell>
          <cell r="L6">
            <v>0</v>
          </cell>
        </row>
      </sheetData>
      <sheetData sheetId="50"/>
      <sheetData sheetId="51"/>
      <sheetData sheetId="52"/>
      <sheetData sheetId="53"/>
      <sheetData sheetId="54"/>
      <sheetData sheetId="55">
        <row r="5">
          <cell r="K5">
            <v>0</v>
          </cell>
          <cell r="L5">
            <v>355200</v>
          </cell>
        </row>
        <row r="6">
          <cell r="B6">
            <v>355200</v>
          </cell>
          <cell r="K6">
            <v>0</v>
          </cell>
          <cell r="L6">
            <v>355200</v>
          </cell>
        </row>
      </sheetData>
      <sheetData sheetId="56">
        <row r="5">
          <cell r="K5">
            <v>688100</v>
          </cell>
          <cell r="L5">
            <v>40500</v>
          </cell>
        </row>
        <row r="6">
          <cell r="B6">
            <v>988100</v>
          </cell>
          <cell r="K6">
            <v>988100</v>
          </cell>
          <cell r="L6">
            <v>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5">
          <cell r="K5">
            <v>0</v>
          </cell>
          <cell r="L5">
            <v>857300</v>
          </cell>
        </row>
        <row r="6">
          <cell r="B6">
            <v>857300</v>
          </cell>
          <cell r="K6">
            <v>0</v>
          </cell>
          <cell r="L6">
            <v>857300</v>
          </cell>
        </row>
      </sheetData>
      <sheetData sheetId="72"/>
      <sheetData sheetId="73"/>
      <sheetData sheetId="74"/>
      <sheetData sheetId="75">
        <row r="5">
          <cell r="K5">
            <v>0</v>
          </cell>
          <cell r="L5">
            <v>266400</v>
          </cell>
        </row>
        <row r="6">
          <cell r="B6">
            <v>266400</v>
          </cell>
          <cell r="K6">
            <v>0</v>
          </cell>
          <cell r="L6">
            <v>266400</v>
          </cell>
        </row>
      </sheetData>
      <sheetData sheetId="76">
        <row r="5">
          <cell r="K5">
            <v>204300</v>
          </cell>
          <cell r="L5">
            <v>0</v>
          </cell>
        </row>
        <row r="6">
          <cell r="B6">
            <v>204300</v>
          </cell>
          <cell r="K6">
            <v>204300</v>
          </cell>
          <cell r="L6">
            <v>0</v>
          </cell>
        </row>
      </sheetData>
      <sheetData sheetId="77">
        <row r="5">
          <cell r="B5">
            <v>907500</v>
          </cell>
          <cell r="K5">
            <v>0</v>
          </cell>
          <cell r="L5">
            <v>907500</v>
          </cell>
        </row>
        <row r="6">
          <cell r="B6">
            <v>616000</v>
          </cell>
          <cell r="K6">
            <v>250</v>
          </cell>
          <cell r="L6">
            <v>615750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>
        <row r="5">
          <cell r="K5">
            <v>0</v>
          </cell>
          <cell r="L5">
            <v>177600</v>
          </cell>
        </row>
        <row r="6">
          <cell r="B6">
            <v>177600</v>
          </cell>
          <cell r="K6">
            <v>0</v>
          </cell>
          <cell r="L6">
            <v>177600</v>
          </cell>
        </row>
      </sheetData>
      <sheetData sheetId="86">
        <row r="5">
          <cell r="K5">
            <v>177600</v>
          </cell>
        </row>
        <row r="6">
          <cell r="B6">
            <v>177600</v>
          </cell>
          <cell r="K6">
            <v>177600</v>
          </cell>
        </row>
      </sheetData>
      <sheetData sheetId="87">
        <row r="5">
          <cell r="K5">
            <v>518900</v>
          </cell>
          <cell r="L5">
            <v>0</v>
          </cell>
        </row>
        <row r="6">
          <cell r="B6">
            <v>518900</v>
          </cell>
          <cell r="K6">
            <v>518900</v>
          </cell>
          <cell r="L6">
            <v>0</v>
          </cell>
        </row>
      </sheetData>
      <sheetData sheetId="88">
        <row r="5">
          <cell r="K5">
            <v>0</v>
          </cell>
          <cell r="L5">
            <v>1612200</v>
          </cell>
        </row>
        <row r="6">
          <cell r="B6">
            <v>1612200</v>
          </cell>
          <cell r="K6">
            <v>0</v>
          </cell>
          <cell r="L6">
            <v>1612200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5">
          <cell r="B5">
            <v>177600</v>
          </cell>
          <cell r="L5">
            <v>177600</v>
          </cell>
        </row>
        <row r="6">
          <cell r="B6">
            <v>177600</v>
          </cell>
          <cell r="L6">
            <v>177600</v>
          </cell>
        </row>
      </sheetData>
      <sheetData sheetId="104">
        <row r="5">
          <cell r="K5">
            <v>0</v>
          </cell>
          <cell r="L5">
            <v>177600</v>
          </cell>
        </row>
        <row r="6">
          <cell r="B6">
            <v>177600</v>
          </cell>
          <cell r="K6">
            <v>177600</v>
          </cell>
          <cell r="L6">
            <v>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>
        <row r="5">
          <cell r="K5">
            <v>353400</v>
          </cell>
        </row>
        <row r="6">
          <cell r="B6">
            <v>353400</v>
          </cell>
          <cell r="K6">
            <v>353400</v>
          </cell>
        </row>
      </sheetData>
      <sheetData sheetId="112">
        <row r="5">
          <cell r="K5">
            <v>0</v>
          </cell>
        </row>
        <row r="6">
          <cell r="B6">
            <v>355100</v>
          </cell>
          <cell r="K6">
            <v>354700</v>
          </cell>
        </row>
      </sheetData>
      <sheetData sheetId="113">
        <row r="5">
          <cell r="K5">
            <v>0</v>
          </cell>
        </row>
        <row r="6">
          <cell r="B6">
            <v>532840</v>
          </cell>
          <cell r="K6">
            <v>532180</v>
          </cell>
        </row>
      </sheetData>
      <sheetData sheetId="114">
        <row r="5">
          <cell r="K5">
            <v>0</v>
          </cell>
        </row>
        <row r="6">
          <cell r="B6">
            <v>177600</v>
          </cell>
          <cell r="K6">
            <v>0</v>
          </cell>
        </row>
      </sheetData>
      <sheetData sheetId="115">
        <row r="6">
          <cell r="B6">
            <v>355100</v>
          </cell>
        </row>
      </sheetData>
      <sheetData sheetId="116"/>
      <sheetData sheetId="117">
        <row r="5">
          <cell r="K5">
            <v>532900</v>
          </cell>
        </row>
        <row r="6">
          <cell r="B6">
            <v>532900</v>
          </cell>
          <cell r="K6">
            <v>532900</v>
          </cell>
        </row>
      </sheetData>
      <sheetData sheetId="118">
        <row r="5">
          <cell r="K5">
            <v>177600</v>
          </cell>
        </row>
        <row r="6">
          <cell r="K6">
            <v>177600</v>
          </cell>
        </row>
      </sheetData>
      <sheetData sheetId="119"/>
      <sheetData sheetId="120"/>
      <sheetData sheetId="121"/>
      <sheetData sheetId="122">
        <row r="5">
          <cell r="L5">
            <v>177600</v>
          </cell>
        </row>
        <row r="6">
          <cell r="B6">
            <v>177600</v>
          </cell>
          <cell r="L6">
            <v>177600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5">
          <cell r="K5">
            <v>177600</v>
          </cell>
        </row>
        <row r="6">
          <cell r="B6">
            <v>177600</v>
          </cell>
          <cell r="K6">
            <v>177600</v>
          </cell>
        </row>
      </sheetData>
      <sheetData sheetId="132"/>
      <sheetData sheetId="133"/>
      <sheetData sheetId="134">
        <row r="5">
          <cell r="K5">
            <v>0</v>
          </cell>
        </row>
        <row r="6">
          <cell r="B6">
            <v>710600</v>
          </cell>
          <cell r="K6">
            <v>324100</v>
          </cell>
        </row>
      </sheetData>
      <sheetData sheetId="135">
        <row r="5">
          <cell r="K5">
            <v>0</v>
          </cell>
        </row>
        <row r="6">
          <cell r="B6">
            <v>1023300</v>
          </cell>
          <cell r="K6">
            <v>0</v>
          </cell>
        </row>
      </sheetData>
      <sheetData sheetId="136"/>
      <sheetData sheetId="137">
        <row r="5">
          <cell r="K5">
            <v>0</v>
          </cell>
        </row>
        <row r="6">
          <cell r="B6">
            <v>443740</v>
          </cell>
          <cell r="K6">
            <v>0</v>
          </cell>
        </row>
      </sheetData>
      <sheetData sheetId="138">
        <row r="5">
          <cell r="K5">
            <v>0</v>
          </cell>
        </row>
        <row r="6">
          <cell r="B6">
            <v>380000</v>
          </cell>
          <cell r="K6">
            <v>380000</v>
          </cell>
        </row>
      </sheetData>
      <sheetData sheetId="139"/>
      <sheetData sheetId="140">
        <row r="5">
          <cell r="K5">
            <v>0</v>
          </cell>
        </row>
        <row r="6">
          <cell r="B6">
            <v>686600</v>
          </cell>
          <cell r="K6">
            <v>613600</v>
          </cell>
        </row>
      </sheetData>
      <sheetData sheetId="141"/>
      <sheetData sheetId="142">
        <row r="5">
          <cell r="K5">
            <v>355100</v>
          </cell>
        </row>
        <row r="6">
          <cell r="B6">
            <v>355100</v>
          </cell>
          <cell r="K6">
            <v>355100</v>
          </cell>
        </row>
      </sheetData>
      <sheetData sheetId="143"/>
      <sheetData sheetId="144">
        <row r="5">
          <cell r="K5">
            <v>0</v>
          </cell>
        </row>
        <row r="6">
          <cell r="B6">
            <v>355100</v>
          </cell>
          <cell r="K6">
            <v>355100</v>
          </cell>
        </row>
      </sheetData>
      <sheetData sheetId="145">
        <row r="5">
          <cell r="K5">
            <v>574400</v>
          </cell>
        </row>
        <row r="6">
          <cell r="B6">
            <v>574400</v>
          </cell>
          <cell r="K6">
            <v>574400</v>
          </cell>
        </row>
      </sheetData>
      <sheetData sheetId="146"/>
      <sheetData sheetId="147"/>
      <sheetData sheetId="148"/>
      <sheetData sheetId="149"/>
      <sheetData sheetId="150">
        <row r="5">
          <cell r="K5">
            <v>681100</v>
          </cell>
        </row>
        <row r="6">
          <cell r="B6">
            <v>681100</v>
          </cell>
          <cell r="K6">
            <v>681100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>
        <row r="5">
          <cell r="K5">
            <v>0</v>
          </cell>
        </row>
        <row r="6">
          <cell r="B6">
            <v>460400</v>
          </cell>
          <cell r="K6">
            <v>460400</v>
          </cell>
        </row>
      </sheetData>
      <sheetData sheetId="158"/>
      <sheetData sheetId="159"/>
      <sheetData sheetId="160"/>
      <sheetData sheetId="161"/>
      <sheetData sheetId="162">
        <row r="5">
          <cell r="K5">
            <v>0</v>
          </cell>
        </row>
        <row r="6">
          <cell r="B6">
            <v>1217800</v>
          </cell>
          <cell r="K6">
            <v>258300</v>
          </cell>
        </row>
      </sheetData>
      <sheetData sheetId="163"/>
      <sheetData sheetId="164"/>
      <sheetData sheetId="165"/>
      <sheetData sheetId="166"/>
      <sheetData sheetId="167">
        <row r="6">
          <cell r="B6">
            <v>177600</v>
          </cell>
        </row>
      </sheetData>
      <sheetData sheetId="168"/>
      <sheetData sheetId="169">
        <row r="5">
          <cell r="K5">
            <v>0</v>
          </cell>
        </row>
        <row r="6">
          <cell r="B6">
            <v>335900</v>
          </cell>
          <cell r="K6">
            <v>0</v>
          </cell>
        </row>
      </sheetData>
      <sheetData sheetId="170"/>
      <sheetData sheetId="171"/>
      <sheetData sheetId="172">
        <row r="5">
          <cell r="K5">
            <v>0</v>
          </cell>
        </row>
        <row r="6">
          <cell r="B6">
            <v>353400</v>
          </cell>
          <cell r="K6">
            <v>352300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5">
          <cell r="K5">
            <v>353400</v>
          </cell>
        </row>
        <row r="6">
          <cell r="B6">
            <v>353400</v>
          </cell>
          <cell r="K6">
            <v>353400</v>
          </cell>
        </row>
      </sheetData>
      <sheetData sheetId="184"/>
      <sheetData sheetId="185"/>
      <sheetData sheetId="186"/>
      <sheetData sheetId="187"/>
      <sheetData sheetId="188">
        <row r="5">
          <cell r="K5">
            <v>1320000</v>
          </cell>
        </row>
        <row r="6">
          <cell r="B6">
            <v>1320000</v>
          </cell>
          <cell r="K6">
            <v>1320000</v>
          </cell>
        </row>
      </sheetData>
      <sheetData sheetId="189"/>
      <sheetData sheetId="190"/>
      <sheetData sheetId="191"/>
      <sheetData sheetId="192"/>
      <sheetData sheetId="193"/>
      <sheetData sheetId="194">
        <row r="5">
          <cell r="K5">
            <v>0</v>
          </cell>
        </row>
        <row r="6">
          <cell r="B6">
            <v>177600</v>
          </cell>
          <cell r="K6">
            <v>0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5">
          <cell r="K5">
            <v>477200</v>
          </cell>
        </row>
        <row r="6">
          <cell r="B6">
            <v>477200</v>
          </cell>
          <cell r="K6">
            <v>477200</v>
          </cell>
        </row>
      </sheetData>
      <sheetData sheetId="204"/>
      <sheetData sheetId="205"/>
      <sheetData sheetId="20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ESES"/>
      <sheetName val="MATRIZ"/>
      <sheetName val="P001"/>
      <sheetName val="P004"/>
      <sheetName val="P002"/>
      <sheetName val="P003"/>
      <sheetName val="P005"/>
      <sheetName val="P006"/>
      <sheetName val="P007"/>
      <sheetName val="P009"/>
      <sheetName val="P008"/>
      <sheetName val="P010"/>
      <sheetName val="P011"/>
      <sheetName val="P012"/>
      <sheetName val="PO16"/>
      <sheetName val="Hoja 1"/>
      <sheetName val="P014"/>
      <sheetName val="P015"/>
      <sheetName val="P017"/>
      <sheetName val="P018"/>
      <sheetName val="P019"/>
      <sheetName val="P020"/>
      <sheetName val="P022"/>
      <sheetName val="P023"/>
      <sheetName val="P021"/>
      <sheetName val="P024"/>
      <sheetName val="P025"/>
      <sheetName val="P026"/>
      <sheetName val="P027"/>
      <sheetName val="P028"/>
      <sheetName val="P029"/>
      <sheetName val="P030"/>
      <sheetName val="P031"/>
      <sheetName val="P032"/>
      <sheetName val="P033"/>
      <sheetName val="P034"/>
      <sheetName val="P035"/>
      <sheetName val="PO36"/>
      <sheetName val="PO37"/>
      <sheetName val="P039"/>
      <sheetName val="P038"/>
      <sheetName val="P044"/>
      <sheetName val="P040"/>
      <sheetName val="P041"/>
      <sheetName val="P042"/>
      <sheetName val="P043"/>
      <sheetName val="P045"/>
      <sheetName val="P046"/>
      <sheetName val="P047"/>
      <sheetName val="P048"/>
      <sheetName val="P049"/>
      <sheetName val="P050"/>
      <sheetName val="P051"/>
      <sheetName val="P052"/>
      <sheetName val="P053"/>
      <sheetName val="P054"/>
      <sheetName val="P059"/>
      <sheetName val="P055"/>
      <sheetName val="P056"/>
      <sheetName val="P057"/>
      <sheetName val="P058"/>
      <sheetName val="P060"/>
      <sheetName val="P061"/>
      <sheetName val="P062"/>
      <sheetName val="P063"/>
      <sheetName val="P064"/>
      <sheetName val="P065"/>
      <sheetName val="P066"/>
      <sheetName val="P067"/>
      <sheetName val="P068"/>
      <sheetName val="P069"/>
      <sheetName val="P070"/>
      <sheetName val="P071"/>
      <sheetName val="P072"/>
      <sheetName val="P073"/>
      <sheetName val="PO73"/>
      <sheetName val="P075"/>
      <sheetName val="80"/>
      <sheetName val="P076"/>
      <sheetName val="P077"/>
      <sheetName val="P078"/>
      <sheetName val="P079"/>
      <sheetName val="P081"/>
      <sheetName val="P082"/>
      <sheetName val="P083"/>
      <sheetName val="P084"/>
      <sheetName val="P085"/>
      <sheetName val="P086"/>
      <sheetName val="P099"/>
      <sheetName val="P087"/>
      <sheetName val="P088"/>
      <sheetName val="P089"/>
      <sheetName val="P090"/>
      <sheetName val="P091"/>
      <sheetName val="P092"/>
      <sheetName val="P093"/>
      <sheetName val="P094"/>
      <sheetName val="P095"/>
      <sheetName val="P096"/>
      <sheetName val="P097"/>
      <sheetName val="P098"/>
      <sheetName val="P100"/>
      <sheetName val="P101"/>
      <sheetName val="P102"/>
      <sheetName val="P103"/>
      <sheetName val="P104"/>
      <sheetName val="P105"/>
      <sheetName val="P106"/>
      <sheetName val="P108"/>
      <sheetName val="P109"/>
      <sheetName val="P110"/>
      <sheetName val="P111"/>
      <sheetName val="P107"/>
      <sheetName val="P112"/>
      <sheetName val="53B"/>
      <sheetName val="P114"/>
      <sheetName val="P115"/>
      <sheetName val="P116"/>
      <sheetName val="P117"/>
      <sheetName val="P117B"/>
      <sheetName val="P117C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127"/>
      <sheetName val="PTO124"/>
      <sheetName val="P128"/>
      <sheetName val="P129"/>
      <sheetName val="P130"/>
      <sheetName val="L001"/>
      <sheetName val="L002"/>
      <sheetName val="L003"/>
      <sheetName val="L004"/>
      <sheetName val="L005"/>
      <sheetName val="L006"/>
      <sheetName val="L007"/>
      <sheetName val="L008"/>
      <sheetName val="L009"/>
      <sheetName val="L010"/>
      <sheetName val="L014"/>
      <sheetName val="L011"/>
      <sheetName val="L012"/>
      <sheetName val="L013"/>
      <sheetName val="L015"/>
      <sheetName val="L016"/>
      <sheetName val="L017"/>
      <sheetName val="L018"/>
      <sheetName val="L019"/>
      <sheetName val="L021"/>
      <sheetName val="L020"/>
      <sheetName val="L022"/>
      <sheetName val="L027"/>
      <sheetName val="L023"/>
      <sheetName val="L024"/>
      <sheetName val="L025"/>
      <sheetName val="L026"/>
      <sheetName val="L030"/>
      <sheetName val="L028"/>
      <sheetName val="L029"/>
      <sheetName val="L030B"/>
      <sheetName val="L031"/>
      <sheetName val="L032"/>
      <sheetName val="L033"/>
      <sheetName val="L034"/>
      <sheetName val="LO35"/>
      <sheetName val="L035"/>
      <sheetName val="I001"/>
      <sheetName val="I002"/>
      <sheetName val="I003"/>
      <sheetName val="I004"/>
      <sheetName val="I005"/>
      <sheetName val="I006"/>
      <sheetName val="I007"/>
      <sheetName val="I008"/>
      <sheetName val="I009"/>
      <sheetName val="I010"/>
      <sheetName val="I011"/>
      <sheetName val="I012"/>
      <sheetName val="I013"/>
      <sheetName val="I014"/>
      <sheetName val="I015"/>
      <sheetName val="I016"/>
      <sheetName val="I017"/>
      <sheetName val="I018"/>
      <sheetName val="I019"/>
      <sheetName val="I020"/>
      <sheetName val="I021"/>
      <sheetName val="I022"/>
      <sheetName val="I023"/>
      <sheetName val="I024"/>
      <sheetName val="I025"/>
      <sheetName val="PC002"/>
      <sheetName val="PC003"/>
      <sheetName val="PC004"/>
      <sheetName val="PC005"/>
      <sheetName val="PC006"/>
      <sheetName val="PC001"/>
      <sheetName val="Gráfico1"/>
      <sheetName val="LAVADERO"/>
      <sheetName val="KIOSKO"/>
      <sheetName val="Hoja2"/>
    </sheetNames>
    <sheetDataSet>
      <sheetData sheetId="0"/>
      <sheetData sheetId="1"/>
      <sheetData sheetId="2">
        <row r="5">
          <cell r="B5">
            <v>1183800</v>
          </cell>
        </row>
      </sheetData>
      <sheetData sheetId="3"/>
      <sheetData sheetId="4"/>
      <sheetData sheetId="5"/>
      <sheetData sheetId="6">
        <row r="5">
          <cell r="B5">
            <v>177600</v>
          </cell>
        </row>
      </sheetData>
      <sheetData sheetId="7">
        <row r="5">
          <cell r="B5">
            <v>177600</v>
          </cell>
        </row>
      </sheetData>
      <sheetData sheetId="8"/>
      <sheetData sheetId="9"/>
      <sheetData sheetId="10">
        <row r="5">
          <cell r="B5">
            <v>355300</v>
          </cell>
        </row>
      </sheetData>
      <sheetData sheetId="11">
        <row r="5">
          <cell r="B5">
            <v>532800</v>
          </cell>
        </row>
      </sheetData>
      <sheetData sheetId="12"/>
      <sheetData sheetId="13">
        <row r="5">
          <cell r="B5">
            <v>1821900</v>
          </cell>
        </row>
      </sheetData>
      <sheetData sheetId="14">
        <row r="5">
          <cell r="B5">
            <v>710600</v>
          </cell>
        </row>
      </sheetData>
      <sheetData sheetId="15"/>
      <sheetData sheetId="16"/>
      <sheetData sheetId="17"/>
      <sheetData sheetId="18">
        <row r="5">
          <cell r="B5">
            <v>177600</v>
          </cell>
        </row>
      </sheetData>
      <sheetData sheetId="19"/>
      <sheetData sheetId="20"/>
      <sheetData sheetId="21"/>
      <sheetData sheetId="22"/>
      <sheetData sheetId="23"/>
      <sheetData sheetId="24">
        <row r="5">
          <cell r="B5">
            <v>710435</v>
          </cell>
        </row>
      </sheetData>
      <sheetData sheetId="25">
        <row r="5">
          <cell r="B5">
            <v>355200</v>
          </cell>
        </row>
      </sheetData>
      <sheetData sheetId="26">
        <row r="5">
          <cell r="B5">
            <v>177600</v>
          </cell>
        </row>
      </sheetData>
      <sheetData sheetId="27"/>
      <sheetData sheetId="28"/>
      <sheetData sheetId="29"/>
      <sheetData sheetId="30"/>
      <sheetData sheetId="31"/>
      <sheetData sheetId="32">
        <row r="5">
          <cell r="B5">
            <v>2294100</v>
          </cell>
        </row>
      </sheetData>
      <sheetData sheetId="33"/>
      <sheetData sheetId="34"/>
      <sheetData sheetId="35"/>
      <sheetData sheetId="36"/>
      <sheetData sheetId="37">
        <row r="5">
          <cell r="B5">
            <v>355200</v>
          </cell>
        </row>
      </sheetData>
      <sheetData sheetId="38">
        <row r="5">
          <cell r="B5">
            <v>177600</v>
          </cell>
        </row>
      </sheetData>
      <sheetData sheetId="39">
        <row r="5">
          <cell r="B5">
            <v>1421200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>
        <row r="5">
          <cell r="B5">
            <v>535900</v>
          </cell>
        </row>
      </sheetData>
      <sheetData sheetId="48"/>
      <sheetData sheetId="49">
        <row r="5">
          <cell r="B5">
            <v>355200</v>
          </cell>
        </row>
      </sheetData>
      <sheetData sheetId="50"/>
      <sheetData sheetId="51"/>
      <sheetData sheetId="52"/>
      <sheetData sheetId="53"/>
      <sheetData sheetId="54"/>
      <sheetData sheetId="55">
        <row r="5">
          <cell r="B5">
            <v>355200</v>
          </cell>
        </row>
      </sheetData>
      <sheetData sheetId="56">
        <row r="5">
          <cell r="B5">
            <v>988100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5">
          <cell r="B5">
            <v>857300</v>
          </cell>
        </row>
      </sheetData>
      <sheetData sheetId="72"/>
      <sheetData sheetId="73"/>
      <sheetData sheetId="74"/>
      <sheetData sheetId="75">
        <row r="5">
          <cell r="B5">
            <v>266400</v>
          </cell>
        </row>
      </sheetData>
      <sheetData sheetId="76">
        <row r="5">
          <cell r="B5">
            <v>204300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5">
          <cell r="B5">
            <v>177600</v>
          </cell>
        </row>
      </sheetData>
      <sheetData sheetId="86">
        <row r="5">
          <cell r="B5">
            <v>177600</v>
          </cell>
          <cell r="L5">
            <v>0</v>
          </cell>
        </row>
        <row r="6">
          <cell r="L6">
            <v>0</v>
          </cell>
        </row>
      </sheetData>
      <sheetData sheetId="87">
        <row r="5">
          <cell r="B5">
            <v>518900</v>
          </cell>
        </row>
      </sheetData>
      <sheetData sheetId="88">
        <row r="5">
          <cell r="B5">
            <v>1612200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5">
          <cell r="B5">
            <v>177600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>
        <row r="5">
          <cell r="B5">
            <v>353400</v>
          </cell>
          <cell r="L5">
            <v>0</v>
          </cell>
        </row>
        <row r="6">
          <cell r="L6">
            <v>0</v>
          </cell>
        </row>
      </sheetData>
      <sheetData sheetId="112">
        <row r="5">
          <cell r="B5">
            <v>355100</v>
          </cell>
        </row>
      </sheetData>
      <sheetData sheetId="113">
        <row r="5">
          <cell r="B5">
            <v>532840</v>
          </cell>
          <cell r="L5">
            <v>0</v>
          </cell>
        </row>
        <row r="6">
          <cell r="L6">
            <v>0</v>
          </cell>
        </row>
      </sheetData>
      <sheetData sheetId="114">
        <row r="5">
          <cell r="B5">
            <v>177600</v>
          </cell>
          <cell r="L5">
            <v>177600</v>
          </cell>
        </row>
        <row r="6">
          <cell r="L6">
            <v>0</v>
          </cell>
        </row>
      </sheetData>
      <sheetData sheetId="115">
        <row r="5">
          <cell r="B5">
            <v>355100</v>
          </cell>
          <cell r="L5">
            <v>355100</v>
          </cell>
        </row>
        <row r="6">
          <cell r="L6">
            <v>0</v>
          </cell>
        </row>
      </sheetData>
      <sheetData sheetId="116"/>
      <sheetData sheetId="117">
        <row r="5">
          <cell r="L5">
            <v>0</v>
          </cell>
        </row>
        <row r="6">
          <cell r="L6">
            <v>0</v>
          </cell>
        </row>
      </sheetData>
      <sheetData sheetId="118"/>
      <sheetData sheetId="119"/>
      <sheetData sheetId="120"/>
      <sheetData sheetId="121"/>
      <sheetData sheetId="122">
        <row r="5">
          <cell r="B5">
            <v>177600</v>
          </cell>
          <cell r="L5">
            <v>177600</v>
          </cell>
        </row>
        <row r="6">
          <cell r="L6">
            <v>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5">
          <cell r="B5">
            <v>177600</v>
          </cell>
        </row>
        <row r="6">
          <cell r="B6"/>
        </row>
      </sheetData>
      <sheetData sheetId="132"/>
      <sheetData sheetId="133"/>
      <sheetData sheetId="134">
        <row r="5">
          <cell r="B5">
            <v>710600</v>
          </cell>
          <cell r="L5">
            <v>710600</v>
          </cell>
        </row>
        <row r="6">
          <cell r="L6">
            <v>18400</v>
          </cell>
        </row>
      </sheetData>
      <sheetData sheetId="135">
        <row r="5">
          <cell r="B5">
            <v>723300</v>
          </cell>
          <cell r="L5">
            <v>723300</v>
          </cell>
        </row>
        <row r="6">
          <cell r="L6">
            <v>0</v>
          </cell>
        </row>
      </sheetData>
      <sheetData sheetId="136"/>
      <sheetData sheetId="137">
        <row r="5">
          <cell r="B5">
            <v>443740</v>
          </cell>
          <cell r="L5">
            <v>0</v>
          </cell>
        </row>
        <row r="6">
          <cell r="L6">
            <v>0</v>
          </cell>
        </row>
      </sheetData>
      <sheetData sheetId="138">
        <row r="5">
          <cell r="B5">
            <v>380000</v>
          </cell>
          <cell r="L5">
            <v>0</v>
          </cell>
        </row>
        <row r="6">
          <cell r="L6">
            <v>0</v>
          </cell>
        </row>
      </sheetData>
      <sheetData sheetId="139"/>
      <sheetData sheetId="140">
        <row r="5">
          <cell r="B5">
            <v>686600</v>
          </cell>
          <cell r="L5">
            <v>0</v>
          </cell>
        </row>
        <row r="6">
          <cell r="L6">
            <v>0</v>
          </cell>
        </row>
      </sheetData>
      <sheetData sheetId="141"/>
      <sheetData sheetId="142">
        <row r="5">
          <cell r="B5">
            <v>355100</v>
          </cell>
          <cell r="L5">
            <v>0</v>
          </cell>
        </row>
        <row r="6">
          <cell r="L6">
            <v>0</v>
          </cell>
        </row>
      </sheetData>
      <sheetData sheetId="143"/>
      <sheetData sheetId="144">
        <row r="5">
          <cell r="B5">
            <v>355100</v>
          </cell>
          <cell r="L5">
            <v>355100</v>
          </cell>
        </row>
        <row r="6">
          <cell r="L6">
            <v>0</v>
          </cell>
        </row>
      </sheetData>
      <sheetData sheetId="145">
        <row r="5">
          <cell r="B5">
            <v>574400</v>
          </cell>
          <cell r="L5">
            <v>0</v>
          </cell>
        </row>
        <row r="6">
          <cell r="L6">
            <v>0</v>
          </cell>
        </row>
      </sheetData>
      <sheetData sheetId="146"/>
      <sheetData sheetId="147"/>
      <sheetData sheetId="148"/>
      <sheetData sheetId="149"/>
      <sheetData sheetId="150">
        <row r="5">
          <cell r="B5">
            <v>681100</v>
          </cell>
          <cell r="L5">
            <v>0</v>
          </cell>
        </row>
        <row r="6">
          <cell r="L6">
            <v>0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>
        <row r="5">
          <cell r="B5">
            <v>460400</v>
          </cell>
          <cell r="L5">
            <v>460400</v>
          </cell>
        </row>
        <row r="6">
          <cell r="L6">
            <v>0</v>
          </cell>
        </row>
      </sheetData>
      <sheetData sheetId="158"/>
      <sheetData sheetId="159"/>
      <sheetData sheetId="160"/>
      <sheetData sheetId="161"/>
      <sheetData sheetId="162">
        <row r="5">
          <cell r="B5">
            <v>1217800</v>
          </cell>
          <cell r="L5">
            <v>40500</v>
          </cell>
        </row>
        <row r="6">
          <cell r="L6">
            <v>0</v>
          </cell>
        </row>
      </sheetData>
      <sheetData sheetId="163"/>
      <sheetData sheetId="164"/>
      <sheetData sheetId="165"/>
      <sheetData sheetId="166"/>
      <sheetData sheetId="167">
        <row r="5">
          <cell r="B5">
            <v>177600</v>
          </cell>
          <cell r="L5">
            <v>0</v>
          </cell>
        </row>
        <row r="6">
          <cell r="L6">
            <v>0</v>
          </cell>
        </row>
      </sheetData>
      <sheetData sheetId="168"/>
      <sheetData sheetId="169">
        <row r="5">
          <cell r="B5">
            <v>335900</v>
          </cell>
        </row>
      </sheetData>
      <sheetData sheetId="170"/>
      <sheetData sheetId="171"/>
      <sheetData sheetId="172">
        <row r="5">
          <cell r="B5">
            <v>353400</v>
          </cell>
          <cell r="L5">
            <v>0</v>
          </cell>
        </row>
        <row r="6">
          <cell r="L6">
            <v>0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5">
          <cell r="B5">
            <v>353400</v>
          </cell>
          <cell r="L5">
            <v>0</v>
          </cell>
        </row>
        <row r="6">
          <cell r="L6">
            <v>0</v>
          </cell>
        </row>
      </sheetData>
      <sheetData sheetId="184"/>
      <sheetData sheetId="185"/>
      <sheetData sheetId="186"/>
      <sheetData sheetId="187"/>
      <sheetData sheetId="188">
        <row r="5">
          <cell r="B5">
            <v>1320000</v>
          </cell>
          <cell r="L5">
            <v>0</v>
          </cell>
        </row>
        <row r="6">
          <cell r="L6">
            <v>0</v>
          </cell>
        </row>
      </sheetData>
      <sheetData sheetId="189"/>
      <sheetData sheetId="190"/>
      <sheetData sheetId="191"/>
      <sheetData sheetId="192"/>
      <sheetData sheetId="193"/>
      <sheetData sheetId="194">
        <row r="5">
          <cell r="B5">
            <v>177600</v>
          </cell>
          <cell r="L5">
            <v>177600</v>
          </cell>
        </row>
        <row r="6">
          <cell r="L6">
            <v>0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5">
          <cell r="B5">
            <v>477200</v>
          </cell>
          <cell r="L5">
            <v>0</v>
          </cell>
        </row>
        <row r="6">
          <cell r="L6">
            <v>0</v>
          </cell>
        </row>
      </sheetData>
      <sheetData sheetId="203"/>
      <sheetData sheetId="204"/>
      <sheetData sheetId="205"/>
      <sheetData sheetId="20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ESES"/>
      <sheetName val="Hoja1"/>
      <sheetName val="MATRIZ"/>
      <sheetName val="P001"/>
      <sheetName val="P004"/>
      <sheetName val="P002"/>
      <sheetName val="P003"/>
      <sheetName val="P005"/>
      <sheetName val="P006"/>
      <sheetName val="P007"/>
      <sheetName val="P009"/>
      <sheetName val="P008"/>
      <sheetName val="P010"/>
      <sheetName val="P011"/>
      <sheetName val="P012"/>
      <sheetName val="P013"/>
      <sheetName val="Hoja 1"/>
      <sheetName val="P014"/>
      <sheetName val="P015"/>
      <sheetName val="P016"/>
      <sheetName val="P017"/>
      <sheetName val="P018"/>
      <sheetName val="P019"/>
      <sheetName val="P020"/>
      <sheetName val="P022"/>
      <sheetName val="P023"/>
      <sheetName val="P021"/>
      <sheetName val="P024"/>
      <sheetName val="P025"/>
      <sheetName val="P026"/>
      <sheetName val="P027"/>
      <sheetName val="P028"/>
      <sheetName val="P029"/>
      <sheetName val="P030"/>
      <sheetName val="P031"/>
      <sheetName val="P032"/>
      <sheetName val="P033"/>
      <sheetName val="P034"/>
      <sheetName val="P035"/>
      <sheetName val="PO36"/>
      <sheetName val="PO37"/>
      <sheetName val="P038"/>
      <sheetName val="P039"/>
      <sheetName val="P040"/>
      <sheetName val="P041"/>
      <sheetName val="P042"/>
      <sheetName val="P043"/>
      <sheetName val="P044"/>
      <sheetName val="P045"/>
      <sheetName val="P046"/>
      <sheetName val="P047"/>
      <sheetName val="P048"/>
      <sheetName val="P054"/>
      <sheetName val="P049"/>
      <sheetName val="P050"/>
      <sheetName val="P051"/>
      <sheetName val="P052"/>
      <sheetName val="P053"/>
      <sheetName val="P055"/>
      <sheetName val="P056"/>
      <sheetName val="P057"/>
      <sheetName val="P058"/>
      <sheetName val="P059"/>
      <sheetName val="P060"/>
      <sheetName val="P061"/>
      <sheetName val="P062"/>
      <sheetName val="P063"/>
      <sheetName val="P064"/>
      <sheetName val="P065"/>
      <sheetName val="P066"/>
      <sheetName val="P067"/>
      <sheetName val="P068"/>
      <sheetName val="P069"/>
      <sheetName val="P070"/>
      <sheetName val="P071"/>
      <sheetName val="P072"/>
      <sheetName val="P073"/>
      <sheetName val="P074"/>
      <sheetName val="P075"/>
      <sheetName val="80"/>
      <sheetName val="P076"/>
      <sheetName val="P077"/>
      <sheetName val="P078"/>
      <sheetName val="P079"/>
      <sheetName val="P081"/>
      <sheetName val="P082"/>
      <sheetName val="P083"/>
      <sheetName val="P084"/>
      <sheetName val="P085"/>
      <sheetName val="P086"/>
      <sheetName val="P087"/>
      <sheetName val="P088"/>
      <sheetName val="P089"/>
      <sheetName val="P090"/>
      <sheetName val="P091"/>
      <sheetName val="P092"/>
      <sheetName val="P093"/>
      <sheetName val="P094"/>
      <sheetName val="P095"/>
      <sheetName val="P096"/>
      <sheetName val="P097"/>
      <sheetName val="P098"/>
      <sheetName val="P0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7B"/>
      <sheetName val="P117C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127"/>
      <sheetName val="P128"/>
      <sheetName val="P129"/>
      <sheetName val="P130"/>
      <sheetName val="L001"/>
      <sheetName val="L002"/>
      <sheetName val="L003"/>
      <sheetName val="L004"/>
      <sheetName val="L005"/>
      <sheetName val="L006"/>
      <sheetName val="L007"/>
      <sheetName val="L008"/>
      <sheetName val="L009"/>
      <sheetName val="L010"/>
      <sheetName val="L014"/>
      <sheetName val="L011"/>
      <sheetName val="L012"/>
      <sheetName val="L013"/>
      <sheetName val="L015"/>
      <sheetName val="L016"/>
      <sheetName val="L017"/>
      <sheetName val="L018"/>
      <sheetName val="L019"/>
      <sheetName val="L021"/>
      <sheetName val="L020"/>
      <sheetName val="L022"/>
      <sheetName val="L027"/>
      <sheetName val="L023"/>
      <sheetName val="L024"/>
      <sheetName val="L025"/>
      <sheetName val="L026"/>
      <sheetName val="L030"/>
      <sheetName val="L028"/>
      <sheetName val="L029"/>
      <sheetName val="L030B"/>
      <sheetName val="L031"/>
      <sheetName val="L032"/>
      <sheetName val="L033"/>
      <sheetName val="L034"/>
      <sheetName val="L035"/>
      <sheetName val="I001"/>
      <sheetName val="I002"/>
      <sheetName val="I003"/>
      <sheetName val="I004"/>
      <sheetName val="I005"/>
      <sheetName val="I006"/>
      <sheetName val="I007"/>
      <sheetName val="I008"/>
      <sheetName val="I009"/>
      <sheetName val="I010"/>
      <sheetName val="I011"/>
      <sheetName val="I012"/>
      <sheetName val="I013"/>
      <sheetName val="I014"/>
      <sheetName val="I015"/>
      <sheetName val="I016"/>
      <sheetName val="I017"/>
      <sheetName val="I018"/>
      <sheetName val="I019"/>
      <sheetName val="I020"/>
      <sheetName val="I021"/>
      <sheetName val="I022"/>
      <sheetName val="I023"/>
      <sheetName val="I024"/>
      <sheetName val="I025"/>
      <sheetName val="PC001"/>
      <sheetName val="PC002"/>
      <sheetName val="PC003"/>
      <sheetName val="PC004"/>
      <sheetName val="PC005"/>
      <sheetName val="PC006"/>
      <sheetName val="Gráfico1"/>
      <sheetName val="LAVADERO"/>
      <sheetName val="KIOSKO"/>
      <sheetName val="Hoja2"/>
    </sheetNames>
    <sheetDataSet>
      <sheetData sheetId="0"/>
      <sheetData sheetId="1"/>
      <sheetData sheetId="2"/>
      <sheetData sheetId="3"/>
      <sheetData sheetId="4"/>
      <sheetData sheetId="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"/>
      <sheetData sheetId="8"/>
      <sheetData sheetId="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1"/>
      <sheetData sheetId="12"/>
      <sheetData sheetId="1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4"/>
      <sheetData sheetId="15">
        <row r="5">
          <cell r="L5">
            <v>163200</v>
          </cell>
        </row>
        <row r="8">
          <cell r="L8">
            <v>257500</v>
          </cell>
        </row>
        <row r="9">
          <cell r="L9">
            <v>257500</v>
          </cell>
        </row>
      </sheetData>
      <sheetData sheetId="16"/>
      <sheetData sheetId="1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">
        <row r="5">
          <cell r="L5">
            <v>22750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9"/>
      <sheetData sheetId="20"/>
      <sheetData sheetId="2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2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2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2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25">
        <row r="5">
          <cell r="L5">
            <v>110500</v>
          </cell>
        </row>
        <row r="8">
          <cell r="L8">
            <v>110500</v>
          </cell>
        </row>
        <row r="9">
          <cell r="L9">
            <v>0</v>
          </cell>
        </row>
      </sheetData>
      <sheetData sheetId="26"/>
      <sheetData sheetId="27"/>
      <sheetData sheetId="28"/>
      <sheetData sheetId="2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4"/>
      <sheetData sheetId="3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38">
        <row r="5">
          <cell r="L5">
            <v>279300</v>
          </cell>
        </row>
        <row r="8">
          <cell r="L8">
            <v>425000</v>
          </cell>
        </row>
        <row r="9">
          <cell r="L9">
            <v>276000</v>
          </cell>
        </row>
      </sheetData>
      <sheetData sheetId="39"/>
      <sheetData sheetId="40"/>
      <sheetData sheetId="4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42"/>
      <sheetData sheetId="4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4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4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4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47">
        <row r="5">
          <cell r="L5">
            <v>135800</v>
          </cell>
        </row>
        <row r="8">
          <cell r="L8">
            <v>146000</v>
          </cell>
        </row>
        <row r="9">
          <cell r="L9">
            <v>138000</v>
          </cell>
        </row>
      </sheetData>
      <sheetData sheetId="4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49"/>
      <sheetData sheetId="50"/>
      <sheetData sheetId="51"/>
      <sheetData sheetId="52">
        <row r="5">
          <cell r="L5">
            <v>47600</v>
          </cell>
        </row>
        <row r="8">
          <cell r="L8">
            <v>73000</v>
          </cell>
        </row>
        <row r="9">
          <cell r="L9">
            <v>69000</v>
          </cell>
        </row>
      </sheetData>
      <sheetData sheetId="5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5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5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5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57">
        <row r="5">
          <cell r="L5">
            <v>95200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58"/>
      <sheetData sheetId="5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1"/>
      <sheetData sheetId="62"/>
      <sheetData sheetId="6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5">
        <row r="5">
          <cell r="L5">
            <v>58000</v>
          </cell>
        </row>
        <row r="8">
          <cell r="L8">
            <v>90100</v>
          </cell>
        </row>
        <row r="9">
          <cell r="L9">
            <v>84100</v>
          </cell>
        </row>
      </sheetData>
      <sheetData sheetId="6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6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3"/>
      <sheetData sheetId="7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77"/>
      <sheetData sheetId="78"/>
      <sheetData sheetId="79"/>
      <sheetData sheetId="8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8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8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8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8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8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8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87"/>
      <sheetData sheetId="88"/>
      <sheetData sheetId="89"/>
      <sheetData sheetId="9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9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2"/>
      <sheetData sheetId="10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5">
        <row r="8">
          <cell r="L8">
            <v>0</v>
          </cell>
        </row>
        <row r="9">
          <cell r="L9">
            <v>0</v>
          </cell>
        </row>
      </sheetData>
      <sheetData sheetId="106"/>
      <sheetData sheetId="10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0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10">
        <row r="5">
          <cell r="L5">
            <v>47600</v>
          </cell>
        </row>
        <row r="6">
          <cell r="L6">
            <v>51400</v>
          </cell>
        </row>
      </sheetData>
      <sheetData sheetId="111">
        <row r="5">
          <cell r="L5">
            <v>47600</v>
          </cell>
        </row>
        <row r="8">
          <cell r="L8">
            <v>69000</v>
          </cell>
        </row>
        <row r="9">
          <cell r="L9">
            <v>0</v>
          </cell>
        </row>
      </sheetData>
      <sheetData sheetId="11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1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14"/>
      <sheetData sheetId="115"/>
      <sheetData sheetId="116"/>
      <sheetData sheetId="117"/>
      <sheetData sheetId="11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19"/>
      <sheetData sheetId="12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21">
        <row r="5">
          <cell r="L5">
            <v>47600</v>
          </cell>
        </row>
        <row r="8">
          <cell r="L8">
            <v>0</v>
          </cell>
        </row>
        <row r="9">
          <cell r="L9">
            <v>69000</v>
          </cell>
        </row>
      </sheetData>
      <sheetData sheetId="122">
        <row r="5">
          <cell r="L5">
            <v>0</v>
          </cell>
        </row>
        <row r="8">
          <cell r="L8">
            <v>69000</v>
          </cell>
        </row>
        <row r="9">
          <cell r="L9">
            <v>69000</v>
          </cell>
        </row>
      </sheetData>
      <sheetData sheetId="12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24">
        <row r="8">
          <cell r="L8">
            <v>0</v>
          </cell>
        </row>
        <row r="9">
          <cell r="L9">
            <v>0</v>
          </cell>
        </row>
      </sheetData>
      <sheetData sheetId="12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2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2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2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29">
        <row r="8">
          <cell r="L8">
            <v>0</v>
          </cell>
        </row>
      </sheetData>
      <sheetData sheetId="130">
        <row r="5">
          <cell r="L5">
            <v>47600</v>
          </cell>
        </row>
        <row r="8">
          <cell r="L8">
            <v>73000</v>
          </cell>
        </row>
        <row r="9">
          <cell r="L9">
            <v>69000</v>
          </cell>
        </row>
      </sheetData>
      <sheetData sheetId="13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3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33">
        <row r="5">
          <cell r="L5">
            <v>47600</v>
          </cell>
        </row>
        <row r="8">
          <cell r="L8">
            <v>73000</v>
          </cell>
        </row>
        <row r="9">
          <cell r="L9">
            <v>69000</v>
          </cell>
        </row>
      </sheetData>
      <sheetData sheetId="13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35"/>
      <sheetData sheetId="136"/>
      <sheetData sheetId="13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38"/>
      <sheetData sheetId="139"/>
      <sheetData sheetId="14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41"/>
      <sheetData sheetId="14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43"/>
      <sheetData sheetId="14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45"/>
      <sheetData sheetId="146"/>
      <sheetData sheetId="14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4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4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5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51"/>
      <sheetData sheetId="15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53">
        <row r="5">
          <cell r="L5">
            <v>47600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5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5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56">
        <row r="5">
          <cell r="L5">
            <v>157000</v>
          </cell>
        </row>
        <row r="8">
          <cell r="L8">
            <v>293700</v>
          </cell>
        </row>
        <row r="9">
          <cell r="L9">
            <v>227700</v>
          </cell>
        </row>
      </sheetData>
      <sheetData sheetId="157">
        <row r="5">
          <cell r="L5">
            <v>147000</v>
          </cell>
        </row>
        <row r="8">
          <cell r="L8">
            <v>266500</v>
          </cell>
        </row>
        <row r="9">
          <cell r="L9">
            <v>326000</v>
          </cell>
        </row>
      </sheetData>
      <sheetData sheetId="158"/>
      <sheetData sheetId="15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3"/>
      <sheetData sheetId="16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68"/>
      <sheetData sheetId="16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0">
        <row r="5">
          <cell r="L5">
            <v>87800</v>
          </cell>
        </row>
        <row r="6">
          <cell r="L6">
            <v>95400</v>
          </cell>
        </row>
      </sheetData>
      <sheetData sheetId="17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2"/>
      <sheetData sheetId="17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8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79">
        <row r="5">
          <cell r="L5">
            <v>46800</v>
          </cell>
        </row>
        <row r="8">
          <cell r="L8">
            <v>46800</v>
          </cell>
        </row>
        <row r="9">
          <cell r="L9">
            <v>46800</v>
          </cell>
        </row>
      </sheetData>
      <sheetData sheetId="180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3"/>
      <sheetData sheetId="184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5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7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88"/>
      <sheetData sheetId="189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90">
        <row r="5">
          <cell r="L5">
            <v>47600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91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92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93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</sheetData>
      <sheetData sheetId="194"/>
      <sheetData sheetId="195">
        <row r="5">
          <cell r="L5">
            <v>23400</v>
          </cell>
        </row>
        <row r="8">
          <cell r="L8">
            <v>0</v>
          </cell>
        </row>
        <row r="9">
          <cell r="L9">
            <v>0</v>
          </cell>
        </row>
        <row r="11">
          <cell r="L11">
            <v>0</v>
          </cell>
        </row>
      </sheetData>
      <sheetData sheetId="196">
        <row r="5">
          <cell r="L5">
            <v>0</v>
          </cell>
        </row>
        <row r="8">
          <cell r="L8">
            <v>0</v>
          </cell>
        </row>
        <row r="9">
          <cell r="L9">
            <v>0</v>
          </cell>
        </row>
        <row r="11">
          <cell r="L11">
            <v>0</v>
          </cell>
        </row>
      </sheetData>
      <sheetData sheetId="197"/>
      <sheetData sheetId="198">
        <row r="5">
          <cell r="L5">
            <v>0</v>
          </cell>
        </row>
        <row r="7">
          <cell r="K7">
            <v>0</v>
          </cell>
        </row>
        <row r="8">
          <cell r="K8">
            <v>0</v>
          </cell>
          <cell r="L8">
            <v>0</v>
          </cell>
        </row>
        <row r="9">
          <cell r="K9">
            <v>0</v>
          </cell>
          <cell r="L9">
            <v>0</v>
          </cell>
        </row>
        <row r="10">
          <cell r="K10">
            <v>0</v>
          </cell>
          <cell r="L10">
            <v>0</v>
          </cell>
        </row>
        <row r="11">
          <cell r="K11">
            <v>0</v>
          </cell>
          <cell r="L11">
            <v>0</v>
          </cell>
        </row>
        <row r="12">
          <cell r="K12">
            <v>0</v>
          </cell>
        </row>
        <row r="13">
          <cell r="K13">
            <v>0</v>
          </cell>
          <cell r="L13">
            <v>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</sheetData>
      <sheetData sheetId="199">
        <row r="5">
          <cell r="L5">
            <v>0</v>
          </cell>
        </row>
        <row r="7">
          <cell r="K7">
            <v>0</v>
          </cell>
        </row>
        <row r="8">
          <cell r="K8">
            <v>0</v>
          </cell>
          <cell r="L8">
            <v>0</v>
          </cell>
        </row>
        <row r="9">
          <cell r="K9">
            <v>0</v>
          </cell>
          <cell r="L9">
            <v>0</v>
          </cell>
        </row>
        <row r="10">
          <cell r="K10">
            <v>0</v>
          </cell>
          <cell r="L10">
            <v>0</v>
          </cell>
        </row>
        <row r="11">
          <cell r="K11">
            <v>0</v>
          </cell>
          <cell r="L11">
            <v>0</v>
          </cell>
        </row>
        <row r="12">
          <cell r="K12">
            <v>0</v>
          </cell>
        </row>
        <row r="13">
          <cell r="K13">
            <v>0</v>
          </cell>
          <cell r="L13">
            <v>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</sheetData>
      <sheetData sheetId="200">
        <row r="5">
          <cell r="L5">
            <v>0</v>
          </cell>
        </row>
        <row r="6">
          <cell r="L6">
            <v>0</v>
          </cell>
        </row>
        <row r="7">
          <cell r="K7">
            <v>0</v>
          </cell>
        </row>
        <row r="8">
          <cell r="K8">
            <v>0</v>
          </cell>
        </row>
        <row r="9">
          <cell r="K9">
            <v>0</v>
          </cell>
        </row>
        <row r="10">
          <cell r="K10">
            <v>0</v>
          </cell>
        </row>
        <row r="11">
          <cell r="K11">
            <v>0</v>
          </cell>
        </row>
        <row r="12">
          <cell r="K12">
            <v>0</v>
          </cell>
        </row>
        <row r="13">
          <cell r="K13">
            <v>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</sheetData>
      <sheetData sheetId="201">
        <row r="5">
          <cell r="L5">
            <v>0</v>
          </cell>
        </row>
        <row r="7">
          <cell r="K7">
            <v>0</v>
          </cell>
        </row>
        <row r="8">
          <cell r="K8">
            <v>0</v>
          </cell>
          <cell r="L8">
            <v>73000</v>
          </cell>
        </row>
        <row r="9">
          <cell r="K9">
            <v>0</v>
          </cell>
          <cell r="L9">
            <v>69000</v>
          </cell>
        </row>
        <row r="10">
          <cell r="K10">
            <v>0</v>
          </cell>
          <cell r="L10">
            <v>86300</v>
          </cell>
        </row>
        <row r="11">
          <cell r="K11">
            <v>0</v>
          </cell>
          <cell r="L11">
            <v>86300</v>
          </cell>
        </row>
        <row r="12">
          <cell r="K12">
            <v>0</v>
          </cell>
        </row>
        <row r="13">
          <cell r="K13">
            <v>0</v>
          </cell>
          <cell r="L13">
            <v>106000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</sheetData>
      <sheetData sheetId="202">
        <row r="5">
          <cell r="L5">
            <v>87000</v>
          </cell>
        </row>
        <row r="7">
          <cell r="K7">
            <v>0</v>
          </cell>
        </row>
        <row r="8">
          <cell r="K8">
            <v>0</v>
          </cell>
          <cell r="L8">
            <v>157750</v>
          </cell>
        </row>
        <row r="9">
          <cell r="K9">
            <v>0</v>
          </cell>
          <cell r="L9">
            <v>195000</v>
          </cell>
        </row>
        <row r="10">
          <cell r="K10">
            <v>0</v>
          </cell>
          <cell r="L10">
            <v>195000</v>
          </cell>
        </row>
        <row r="11">
          <cell r="K11">
            <v>100</v>
          </cell>
          <cell r="L11">
            <v>214400</v>
          </cell>
        </row>
        <row r="12">
          <cell r="K12">
            <v>214500</v>
          </cell>
        </row>
        <row r="13">
          <cell r="K13">
            <v>214500</v>
          </cell>
          <cell r="L13">
            <v>0</v>
          </cell>
        </row>
        <row r="14">
          <cell r="K14">
            <v>214500</v>
          </cell>
        </row>
        <row r="15">
          <cell r="K15">
            <v>214500</v>
          </cell>
        </row>
        <row r="16">
          <cell r="K16">
            <v>214500</v>
          </cell>
        </row>
      </sheetData>
      <sheetData sheetId="203"/>
      <sheetData sheetId="204">
        <row r="5">
          <cell r="L5">
            <v>0</v>
          </cell>
        </row>
        <row r="7">
          <cell r="K7">
            <v>0</v>
          </cell>
        </row>
        <row r="8">
          <cell r="K8">
            <v>0</v>
          </cell>
          <cell r="L8">
            <v>0</v>
          </cell>
        </row>
        <row r="9">
          <cell r="K9">
            <v>0</v>
          </cell>
          <cell r="L9">
            <v>0</v>
          </cell>
        </row>
        <row r="10">
          <cell r="K10">
            <v>0</v>
          </cell>
          <cell r="L10">
            <v>0</v>
          </cell>
        </row>
        <row r="11">
          <cell r="K11">
            <v>0</v>
          </cell>
          <cell r="L11">
            <v>0</v>
          </cell>
        </row>
        <row r="12">
          <cell r="K12">
            <v>0</v>
          </cell>
        </row>
        <row r="13">
          <cell r="K13">
            <v>0</v>
          </cell>
          <cell r="L13">
            <v>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</sheetData>
      <sheetData sheetId="205">
        <row r="5">
          <cell r="K5">
            <v>0</v>
          </cell>
        </row>
      </sheetData>
      <sheetData sheetId="20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MATRIZ"/>
      <sheetName val="P001"/>
      <sheetName val="P002"/>
      <sheetName val="P003"/>
      <sheetName val="P004"/>
      <sheetName val="P005"/>
      <sheetName val="P006"/>
      <sheetName val="P007"/>
      <sheetName val="P008"/>
      <sheetName val="P009"/>
      <sheetName val="P010"/>
      <sheetName val="P011"/>
      <sheetName val="P012"/>
      <sheetName val="P013"/>
      <sheetName val="P014"/>
      <sheetName val="P015"/>
      <sheetName val="P016"/>
      <sheetName val="P017"/>
      <sheetName val="P018"/>
      <sheetName val="P019"/>
      <sheetName val="P020"/>
      <sheetName val="P021"/>
      <sheetName val="P022"/>
      <sheetName val="P023"/>
      <sheetName val="P024"/>
      <sheetName val="P025"/>
      <sheetName val="P026"/>
      <sheetName val="P027"/>
      <sheetName val="P028"/>
      <sheetName val="P029"/>
      <sheetName val="P030"/>
      <sheetName val="P031"/>
      <sheetName val="P032"/>
      <sheetName val="P033"/>
      <sheetName val="P034"/>
      <sheetName val="P035"/>
      <sheetName val="P036"/>
      <sheetName val="P037"/>
      <sheetName val="P038"/>
      <sheetName val="P039"/>
      <sheetName val="P040"/>
      <sheetName val="P041"/>
      <sheetName val="P042"/>
      <sheetName val="P043"/>
      <sheetName val="P044"/>
      <sheetName val="P045"/>
      <sheetName val="P046"/>
      <sheetName val="P047"/>
      <sheetName val="P048"/>
      <sheetName val="P049"/>
      <sheetName val="P050"/>
      <sheetName val="P051"/>
      <sheetName val="P052"/>
      <sheetName val="P053"/>
      <sheetName val="P054"/>
      <sheetName val="P055"/>
      <sheetName val="P056"/>
      <sheetName val="P057"/>
      <sheetName val="P058"/>
      <sheetName val="P059"/>
      <sheetName val="P060"/>
      <sheetName val="P061"/>
      <sheetName val="P062"/>
      <sheetName val="P063"/>
      <sheetName val="P064"/>
      <sheetName val="P065"/>
      <sheetName val="P066"/>
      <sheetName val="P067"/>
      <sheetName val="P068"/>
      <sheetName val="P069"/>
      <sheetName val="P070"/>
      <sheetName val="P071"/>
      <sheetName val="P072"/>
      <sheetName val="P073"/>
      <sheetName val="P074"/>
      <sheetName val="P075"/>
      <sheetName val="P076"/>
      <sheetName val="P077"/>
      <sheetName val="P078"/>
      <sheetName val="P079"/>
      <sheetName val="P080"/>
      <sheetName val="P081"/>
      <sheetName val="P082"/>
      <sheetName val="P083"/>
      <sheetName val="P084"/>
      <sheetName val="P085"/>
      <sheetName val="P086"/>
      <sheetName val="P087"/>
      <sheetName val="P088"/>
      <sheetName val="P089"/>
      <sheetName val="P090"/>
      <sheetName val="P091"/>
      <sheetName val="P092"/>
      <sheetName val="P093"/>
      <sheetName val="P094"/>
      <sheetName val="P095"/>
      <sheetName val="P096"/>
      <sheetName val="P097"/>
      <sheetName val="P098"/>
      <sheetName val="P0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7B"/>
      <sheetName val="P117C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127"/>
      <sheetName val="P128"/>
      <sheetName val="P129"/>
      <sheetName val="P130"/>
      <sheetName val="L001"/>
      <sheetName val="L002"/>
      <sheetName val="L003"/>
      <sheetName val="L004"/>
      <sheetName val="L005"/>
      <sheetName val="L006"/>
      <sheetName val="L007"/>
      <sheetName val="L008"/>
      <sheetName val="L009"/>
      <sheetName val="L010"/>
      <sheetName val="L011"/>
      <sheetName val="L012"/>
      <sheetName val="L013"/>
      <sheetName val="L014"/>
      <sheetName val="L015"/>
      <sheetName val="L016"/>
      <sheetName val="L017"/>
      <sheetName val="L018"/>
      <sheetName val="L019"/>
      <sheetName val="L020"/>
      <sheetName val="L021"/>
      <sheetName val="L022"/>
      <sheetName val="L023"/>
      <sheetName val="L024"/>
      <sheetName val="L025"/>
      <sheetName val="L026"/>
      <sheetName val="L027"/>
      <sheetName val="L028"/>
      <sheetName val="L029"/>
      <sheetName val="L030"/>
      <sheetName val="L030B"/>
      <sheetName val="L031"/>
      <sheetName val="L032"/>
      <sheetName val="L033"/>
      <sheetName val="L034"/>
      <sheetName val="L035"/>
      <sheetName val="I001"/>
      <sheetName val="I002"/>
      <sheetName val="I003"/>
      <sheetName val="I004"/>
      <sheetName val="I005"/>
      <sheetName val="I006"/>
      <sheetName val="I007"/>
      <sheetName val="I008"/>
      <sheetName val="I009"/>
      <sheetName val="I010"/>
      <sheetName val="I011"/>
      <sheetName val="I012"/>
      <sheetName val="I013"/>
      <sheetName val="I014"/>
      <sheetName val="I015"/>
      <sheetName val="I016"/>
      <sheetName val="I017"/>
      <sheetName val="I018"/>
      <sheetName val="I019"/>
      <sheetName val="I020"/>
      <sheetName val="I021"/>
      <sheetName val="I022"/>
      <sheetName val="I023"/>
      <sheetName val="I024"/>
      <sheetName val="I025"/>
      <sheetName val="PC001"/>
      <sheetName val="PC002"/>
      <sheetName val="PC003"/>
      <sheetName val="PC004"/>
      <sheetName val="PC005"/>
      <sheetName val="Gráfico1"/>
      <sheetName val="PC006"/>
      <sheetName val="LAVADERO"/>
      <sheetName val="REMIS"/>
      <sheetName val="KIOSKO"/>
      <sheetName val="Hoja2"/>
    </sheetNames>
    <sheetDataSet>
      <sheetData sheetId="0"/>
      <sheetData sheetId="1"/>
      <sheetData sheetId="2">
        <row r="5">
          <cell r="K5">
            <v>319600</v>
          </cell>
        </row>
      </sheetData>
      <sheetData sheetId="3">
        <row r="5">
          <cell r="K5">
            <v>0</v>
          </cell>
        </row>
      </sheetData>
      <sheetData sheetId="4">
        <row r="5">
          <cell r="K5">
            <v>0</v>
          </cell>
        </row>
      </sheetData>
      <sheetData sheetId="5">
        <row r="5">
          <cell r="K5">
            <v>47600</v>
          </cell>
        </row>
      </sheetData>
      <sheetData sheetId="6">
        <row r="5">
          <cell r="K5">
            <v>47600</v>
          </cell>
        </row>
      </sheetData>
      <sheetData sheetId="7">
        <row r="5">
          <cell r="K5">
            <v>47600</v>
          </cell>
        </row>
      </sheetData>
      <sheetData sheetId="8">
        <row r="5">
          <cell r="K5">
            <v>0</v>
          </cell>
        </row>
      </sheetData>
      <sheetData sheetId="9">
        <row r="5">
          <cell r="K5">
            <v>151000</v>
          </cell>
        </row>
      </sheetData>
      <sheetData sheetId="10">
        <row r="5">
          <cell r="K5">
            <v>0</v>
          </cell>
        </row>
      </sheetData>
      <sheetData sheetId="11">
        <row r="5">
          <cell r="K5">
            <v>95200</v>
          </cell>
        </row>
      </sheetData>
      <sheetData sheetId="12">
        <row r="5">
          <cell r="K5">
            <v>0</v>
          </cell>
        </row>
      </sheetData>
      <sheetData sheetId="13">
        <row r="5">
          <cell r="K5">
            <v>492000</v>
          </cell>
        </row>
      </sheetData>
      <sheetData sheetId="14">
        <row r="5">
          <cell r="K5">
            <v>0</v>
          </cell>
        </row>
      </sheetData>
      <sheetData sheetId="15">
        <row r="5">
          <cell r="K5">
            <v>0</v>
          </cell>
        </row>
      </sheetData>
      <sheetData sheetId="16">
        <row r="5">
          <cell r="K5">
            <v>0</v>
          </cell>
        </row>
      </sheetData>
      <sheetData sheetId="17">
        <row r="5">
          <cell r="K5">
            <v>0</v>
          </cell>
        </row>
      </sheetData>
      <sheetData sheetId="18">
        <row r="5">
          <cell r="K5">
            <v>0</v>
          </cell>
        </row>
      </sheetData>
      <sheetData sheetId="19">
        <row r="5">
          <cell r="K5">
            <v>0</v>
          </cell>
        </row>
      </sheetData>
      <sheetData sheetId="20">
        <row r="5">
          <cell r="K5">
            <v>0</v>
          </cell>
        </row>
      </sheetData>
      <sheetData sheetId="21">
        <row r="5">
          <cell r="K5">
            <v>0</v>
          </cell>
        </row>
      </sheetData>
      <sheetData sheetId="22">
        <row r="5">
          <cell r="K5">
            <v>0</v>
          </cell>
        </row>
      </sheetData>
      <sheetData sheetId="23">
        <row r="5">
          <cell r="K5">
            <v>0</v>
          </cell>
        </row>
      </sheetData>
      <sheetData sheetId="24">
        <row r="5">
          <cell r="K5">
            <v>0</v>
          </cell>
        </row>
      </sheetData>
      <sheetData sheetId="25">
        <row r="5">
          <cell r="K5">
            <v>0</v>
          </cell>
        </row>
      </sheetData>
      <sheetData sheetId="26">
        <row r="5">
          <cell r="K5">
            <v>0</v>
          </cell>
        </row>
      </sheetData>
      <sheetData sheetId="27">
        <row r="5">
          <cell r="K5">
            <v>0</v>
          </cell>
        </row>
      </sheetData>
      <sheetData sheetId="28">
        <row r="5">
          <cell r="K5">
            <v>0</v>
          </cell>
        </row>
      </sheetData>
      <sheetData sheetId="29">
        <row r="5">
          <cell r="K5">
            <v>0</v>
          </cell>
        </row>
      </sheetData>
      <sheetData sheetId="30">
        <row r="5">
          <cell r="K5">
            <v>0</v>
          </cell>
        </row>
      </sheetData>
      <sheetData sheetId="31">
        <row r="5">
          <cell r="K5">
            <v>0</v>
          </cell>
        </row>
      </sheetData>
      <sheetData sheetId="32">
        <row r="5">
          <cell r="K5">
            <v>0</v>
          </cell>
        </row>
      </sheetData>
      <sheetData sheetId="33">
        <row r="5">
          <cell r="K5">
            <v>0</v>
          </cell>
        </row>
      </sheetData>
      <sheetData sheetId="34">
        <row r="5">
          <cell r="K5">
            <v>0</v>
          </cell>
        </row>
      </sheetData>
      <sheetData sheetId="35">
        <row r="5">
          <cell r="K5">
            <v>0</v>
          </cell>
        </row>
      </sheetData>
      <sheetData sheetId="36">
        <row r="5">
          <cell r="K5">
            <v>0</v>
          </cell>
        </row>
      </sheetData>
      <sheetData sheetId="37">
        <row r="5">
          <cell r="K5">
            <v>0</v>
          </cell>
        </row>
      </sheetData>
      <sheetData sheetId="38">
        <row r="5">
          <cell r="K5">
            <v>141500</v>
          </cell>
        </row>
      </sheetData>
      <sheetData sheetId="39">
        <row r="5">
          <cell r="K5">
            <v>0</v>
          </cell>
        </row>
      </sheetData>
      <sheetData sheetId="40">
        <row r="5">
          <cell r="K5">
            <v>142000</v>
          </cell>
        </row>
      </sheetData>
      <sheetData sheetId="41">
        <row r="5">
          <cell r="K5">
            <v>0</v>
          </cell>
        </row>
      </sheetData>
      <sheetData sheetId="42">
        <row r="5">
          <cell r="K5">
            <v>0</v>
          </cell>
        </row>
      </sheetData>
      <sheetData sheetId="43">
        <row r="5">
          <cell r="K5">
            <v>0</v>
          </cell>
        </row>
      </sheetData>
      <sheetData sheetId="44">
        <row r="5">
          <cell r="K5">
            <v>0</v>
          </cell>
        </row>
      </sheetData>
      <sheetData sheetId="45">
        <row r="5">
          <cell r="K5">
            <v>0</v>
          </cell>
        </row>
      </sheetData>
      <sheetData sheetId="46">
        <row r="5">
          <cell r="K5">
            <v>0</v>
          </cell>
        </row>
      </sheetData>
      <sheetData sheetId="47">
        <row r="7">
          <cell r="K7">
            <v>0</v>
          </cell>
        </row>
      </sheetData>
      <sheetData sheetId="48"/>
      <sheetData sheetId="49">
        <row r="5">
          <cell r="K5">
            <v>0</v>
          </cell>
        </row>
      </sheetData>
      <sheetData sheetId="50">
        <row r="5">
          <cell r="K5">
            <v>0</v>
          </cell>
        </row>
      </sheetData>
      <sheetData sheetId="51">
        <row r="5">
          <cell r="K5">
            <v>0</v>
          </cell>
        </row>
      </sheetData>
      <sheetData sheetId="52">
        <row r="5">
          <cell r="K5">
            <v>0</v>
          </cell>
        </row>
      </sheetData>
      <sheetData sheetId="53">
        <row r="5">
          <cell r="K5">
            <v>0</v>
          </cell>
        </row>
      </sheetData>
      <sheetData sheetId="54">
        <row r="5">
          <cell r="K5">
            <v>0</v>
          </cell>
        </row>
      </sheetData>
      <sheetData sheetId="55">
        <row r="5">
          <cell r="K5">
            <v>0</v>
          </cell>
        </row>
      </sheetData>
      <sheetData sheetId="56">
        <row r="5">
          <cell r="K5">
            <v>0</v>
          </cell>
        </row>
      </sheetData>
      <sheetData sheetId="57">
        <row r="5">
          <cell r="K5">
            <v>0</v>
          </cell>
        </row>
      </sheetData>
      <sheetData sheetId="58">
        <row r="5">
          <cell r="K5">
            <v>0</v>
          </cell>
        </row>
      </sheetData>
      <sheetData sheetId="59"/>
      <sheetData sheetId="60">
        <row r="5">
          <cell r="K5">
            <v>0</v>
          </cell>
        </row>
      </sheetData>
      <sheetData sheetId="61">
        <row r="5">
          <cell r="K5">
            <v>0</v>
          </cell>
        </row>
      </sheetData>
      <sheetData sheetId="62">
        <row r="5">
          <cell r="K5">
            <v>0</v>
          </cell>
        </row>
      </sheetData>
      <sheetData sheetId="63">
        <row r="5">
          <cell r="K5">
            <v>0</v>
          </cell>
        </row>
      </sheetData>
      <sheetData sheetId="64">
        <row r="5">
          <cell r="K5">
            <v>0</v>
          </cell>
        </row>
      </sheetData>
      <sheetData sheetId="65">
        <row r="5">
          <cell r="K5">
            <v>0</v>
          </cell>
        </row>
      </sheetData>
      <sheetData sheetId="66">
        <row r="5">
          <cell r="K5">
            <v>0</v>
          </cell>
        </row>
      </sheetData>
      <sheetData sheetId="67">
        <row r="5">
          <cell r="K5">
            <v>0</v>
          </cell>
        </row>
      </sheetData>
      <sheetData sheetId="68">
        <row r="5">
          <cell r="K5">
            <v>0</v>
          </cell>
        </row>
      </sheetData>
      <sheetData sheetId="69">
        <row r="5">
          <cell r="K5">
            <v>0</v>
          </cell>
        </row>
      </sheetData>
      <sheetData sheetId="70">
        <row r="5">
          <cell r="K5">
            <v>0</v>
          </cell>
        </row>
      </sheetData>
      <sheetData sheetId="71">
        <row r="5">
          <cell r="K5">
            <v>0</v>
          </cell>
        </row>
      </sheetData>
      <sheetData sheetId="72">
        <row r="5">
          <cell r="K5">
            <v>0</v>
          </cell>
        </row>
      </sheetData>
      <sheetData sheetId="73">
        <row r="5">
          <cell r="K5">
            <v>0</v>
          </cell>
        </row>
      </sheetData>
      <sheetData sheetId="74">
        <row r="5">
          <cell r="K5">
            <v>0</v>
          </cell>
        </row>
      </sheetData>
      <sheetData sheetId="75">
        <row r="5">
          <cell r="K5">
            <v>163500</v>
          </cell>
        </row>
      </sheetData>
      <sheetData sheetId="76">
        <row r="5">
          <cell r="K5">
            <v>0</v>
          </cell>
        </row>
      </sheetData>
      <sheetData sheetId="77">
        <row r="5">
          <cell r="K5">
            <v>0</v>
          </cell>
        </row>
      </sheetData>
      <sheetData sheetId="78">
        <row r="5">
          <cell r="K5">
            <v>0</v>
          </cell>
        </row>
      </sheetData>
      <sheetData sheetId="79">
        <row r="5">
          <cell r="K5">
            <v>0</v>
          </cell>
        </row>
      </sheetData>
      <sheetData sheetId="80">
        <row r="5">
          <cell r="K5">
            <v>0</v>
          </cell>
        </row>
      </sheetData>
      <sheetData sheetId="81">
        <row r="5">
          <cell r="K5">
            <v>0</v>
          </cell>
        </row>
      </sheetData>
      <sheetData sheetId="82">
        <row r="5">
          <cell r="K5">
            <v>0</v>
          </cell>
        </row>
      </sheetData>
      <sheetData sheetId="83">
        <row r="5">
          <cell r="K5">
            <v>0</v>
          </cell>
        </row>
      </sheetData>
      <sheetData sheetId="84">
        <row r="5">
          <cell r="K5">
            <v>0</v>
          </cell>
        </row>
      </sheetData>
      <sheetData sheetId="85">
        <row r="5">
          <cell r="K5">
            <v>47600</v>
          </cell>
        </row>
      </sheetData>
      <sheetData sheetId="86">
        <row r="5">
          <cell r="K5">
            <v>47600</v>
          </cell>
        </row>
      </sheetData>
      <sheetData sheetId="87">
        <row r="5">
          <cell r="K5">
            <v>0</v>
          </cell>
        </row>
      </sheetData>
      <sheetData sheetId="88">
        <row r="5">
          <cell r="K5">
            <v>0</v>
          </cell>
        </row>
      </sheetData>
      <sheetData sheetId="89">
        <row r="5">
          <cell r="K5">
            <v>0</v>
          </cell>
        </row>
      </sheetData>
      <sheetData sheetId="90">
        <row r="5">
          <cell r="K5">
            <v>0</v>
          </cell>
        </row>
      </sheetData>
      <sheetData sheetId="91">
        <row r="5">
          <cell r="K5">
            <v>0</v>
          </cell>
        </row>
      </sheetData>
      <sheetData sheetId="92">
        <row r="5">
          <cell r="K5">
            <v>0</v>
          </cell>
        </row>
      </sheetData>
      <sheetData sheetId="93">
        <row r="5">
          <cell r="K5">
            <v>0</v>
          </cell>
        </row>
      </sheetData>
      <sheetData sheetId="94">
        <row r="5">
          <cell r="K5">
            <v>0</v>
          </cell>
        </row>
      </sheetData>
      <sheetData sheetId="95">
        <row r="5">
          <cell r="K5">
            <v>0</v>
          </cell>
        </row>
      </sheetData>
      <sheetData sheetId="96">
        <row r="5">
          <cell r="K5">
            <v>0</v>
          </cell>
        </row>
      </sheetData>
      <sheetData sheetId="97">
        <row r="5">
          <cell r="K5">
            <v>0</v>
          </cell>
        </row>
      </sheetData>
      <sheetData sheetId="98">
        <row r="5">
          <cell r="K5">
            <v>0</v>
          </cell>
        </row>
      </sheetData>
      <sheetData sheetId="99">
        <row r="5">
          <cell r="K5">
            <v>0</v>
          </cell>
        </row>
      </sheetData>
      <sheetData sheetId="100">
        <row r="5">
          <cell r="K5">
            <v>0</v>
          </cell>
        </row>
      </sheetData>
      <sheetData sheetId="101">
        <row r="5">
          <cell r="K5">
            <v>0</v>
          </cell>
        </row>
      </sheetData>
      <sheetData sheetId="102">
        <row r="5">
          <cell r="K5">
            <v>0</v>
          </cell>
        </row>
      </sheetData>
      <sheetData sheetId="103">
        <row r="5">
          <cell r="K5">
            <v>0</v>
          </cell>
        </row>
      </sheetData>
      <sheetData sheetId="104">
        <row r="5">
          <cell r="K5">
            <v>0</v>
          </cell>
        </row>
      </sheetData>
      <sheetData sheetId="105">
        <row r="5">
          <cell r="K5">
            <v>0</v>
          </cell>
        </row>
      </sheetData>
      <sheetData sheetId="106">
        <row r="5">
          <cell r="K5">
            <v>0</v>
          </cell>
        </row>
      </sheetData>
      <sheetData sheetId="107">
        <row r="5">
          <cell r="K5">
            <v>0</v>
          </cell>
        </row>
      </sheetData>
      <sheetData sheetId="108">
        <row r="5">
          <cell r="K5">
            <v>0</v>
          </cell>
        </row>
      </sheetData>
      <sheetData sheetId="109">
        <row r="5">
          <cell r="K5">
            <v>0</v>
          </cell>
        </row>
      </sheetData>
      <sheetData sheetId="110">
        <row r="5">
          <cell r="K5">
            <v>0</v>
          </cell>
        </row>
      </sheetData>
      <sheetData sheetId="111">
        <row r="5">
          <cell r="K5">
            <v>0</v>
          </cell>
        </row>
      </sheetData>
      <sheetData sheetId="112">
        <row r="5">
          <cell r="K5">
            <v>0</v>
          </cell>
        </row>
      </sheetData>
      <sheetData sheetId="113">
        <row r="5">
          <cell r="K5">
            <v>95200</v>
          </cell>
        </row>
      </sheetData>
      <sheetData sheetId="114">
        <row r="5">
          <cell r="K5">
            <v>95200</v>
          </cell>
        </row>
      </sheetData>
      <sheetData sheetId="115">
        <row r="5">
          <cell r="K5">
            <v>90000</v>
          </cell>
        </row>
      </sheetData>
      <sheetData sheetId="116">
        <row r="5">
          <cell r="K5">
            <v>0</v>
          </cell>
        </row>
      </sheetData>
      <sheetData sheetId="117">
        <row r="5">
          <cell r="K5">
            <v>47600</v>
          </cell>
        </row>
      </sheetData>
      <sheetData sheetId="118">
        <row r="5">
          <cell r="K5">
            <v>0</v>
          </cell>
        </row>
      </sheetData>
      <sheetData sheetId="119">
        <row r="5">
          <cell r="K5">
            <v>47600</v>
          </cell>
        </row>
      </sheetData>
      <sheetData sheetId="120">
        <row r="5">
          <cell r="K5">
            <v>0</v>
          </cell>
        </row>
      </sheetData>
      <sheetData sheetId="121">
        <row r="5">
          <cell r="K5">
            <v>0</v>
          </cell>
        </row>
      </sheetData>
      <sheetData sheetId="122">
        <row r="5">
          <cell r="K5">
            <v>0</v>
          </cell>
        </row>
      </sheetData>
      <sheetData sheetId="123">
        <row r="5">
          <cell r="K5">
            <v>0</v>
          </cell>
        </row>
      </sheetData>
      <sheetData sheetId="124">
        <row r="5">
          <cell r="K5">
            <v>0</v>
          </cell>
        </row>
      </sheetData>
      <sheetData sheetId="125">
        <row r="5">
          <cell r="K5">
            <v>0</v>
          </cell>
        </row>
      </sheetData>
      <sheetData sheetId="126">
        <row r="5">
          <cell r="K5">
            <v>0</v>
          </cell>
        </row>
      </sheetData>
      <sheetData sheetId="127">
        <row r="5">
          <cell r="K5">
            <v>0</v>
          </cell>
        </row>
      </sheetData>
      <sheetData sheetId="128">
        <row r="5">
          <cell r="K5">
            <v>0</v>
          </cell>
        </row>
      </sheetData>
      <sheetData sheetId="129">
        <row r="5">
          <cell r="K5">
            <v>0</v>
          </cell>
        </row>
      </sheetData>
      <sheetData sheetId="130">
        <row r="5">
          <cell r="K5">
            <v>0</v>
          </cell>
        </row>
      </sheetData>
      <sheetData sheetId="131">
        <row r="5">
          <cell r="K5">
            <v>47600</v>
          </cell>
        </row>
      </sheetData>
      <sheetData sheetId="132">
        <row r="5">
          <cell r="K5">
            <v>0</v>
          </cell>
        </row>
      </sheetData>
      <sheetData sheetId="133">
        <row r="5">
          <cell r="K5">
            <v>141000</v>
          </cell>
        </row>
      </sheetData>
      <sheetData sheetId="134">
        <row r="5">
          <cell r="K5">
            <v>195000</v>
          </cell>
        </row>
      </sheetData>
      <sheetData sheetId="135">
        <row r="5">
          <cell r="K5">
            <v>0</v>
          </cell>
        </row>
      </sheetData>
      <sheetData sheetId="136">
        <row r="5">
          <cell r="K5">
            <v>190000</v>
          </cell>
        </row>
      </sheetData>
      <sheetData sheetId="137">
        <row r="5">
          <cell r="K5">
            <v>102600</v>
          </cell>
        </row>
      </sheetData>
      <sheetData sheetId="138">
        <row r="5">
          <cell r="K5">
            <v>0</v>
          </cell>
        </row>
      </sheetData>
      <sheetData sheetId="139">
        <row r="5">
          <cell r="K5">
            <v>185000</v>
          </cell>
        </row>
      </sheetData>
      <sheetData sheetId="140">
        <row r="5">
          <cell r="K5">
            <v>0</v>
          </cell>
        </row>
      </sheetData>
      <sheetData sheetId="141">
        <row r="5">
          <cell r="K5">
            <v>103000</v>
          </cell>
        </row>
      </sheetData>
      <sheetData sheetId="142">
        <row r="5">
          <cell r="K5">
            <v>0</v>
          </cell>
        </row>
      </sheetData>
      <sheetData sheetId="143">
        <row r="5">
          <cell r="K5">
            <v>0</v>
          </cell>
        </row>
      </sheetData>
      <sheetData sheetId="144">
        <row r="5">
          <cell r="K5">
            <v>0</v>
          </cell>
        </row>
      </sheetData>
      <sheetData sheetId="145">
        <row r="5">
          <cell r="K5">
            <v>0</v>
          </cell>
        </row>
      </sheetData>
      <sheetData sheetId="146">
        <row r="5">
          <cell r="K5">
            <v>0</v>
          </cell>
        </row>
      </sheetData>
      <sheetData sheetId="147">
        <row r="5">
          <cell r="K5">
            <v>180000</v>
          </cell>
        </row>
      </sheetData>
      <sheetData sheetId="148">
        <row r="5">
          <cell r="K5">
            <v>0</v>
          </cell>
        </row>
      </sheetData>
      <sheetData sheetId="149">
        <row r="5">
          <cell r="K5">
            <v>82000</v>
          </cell>
        </row>
      </sheetData>
      <sheetData sheetId="150">
        <row r="5">
          <cell r="K5">
            <v>0</v>
          </cell>
        </row>
      </sheetData>
      <sheetData sheetId="151">
        <row r="5">
          <cell r="K5">
            <v>47600</v>
          </cell>
        </row>
      </sheetData>
      <sheetData sheetId="152">
        <row r="5">
          <cell r="K5">
            <v>0</v>
          </cell>
        </row>
      </sheetData>
      <sheetData sheetId="153">
        <row r="5">
          <cell r="K5">
            <v>157000</v>
          </cell>
        </row>
      </sheetData>
      <sheetData sheetId="154">
        <row r="5">
          <cell r="K5">
            <v>0</v>
          </cell>
        </row>
      </sheetData>
      <sheetData sheetId="155">
        <row r="5">
          <cell r="K5">
            <v>132000</v>
          </cell>
        </row>
      </sheetData>
      <sheetData sheetId="156">
        <row r="5">
          <cell r="K5">
            <v>0</v>
          </cell>
        </row>
      </sheetData>
      <sheetData sheetId="157">
        <row r="5">
          <cell r="K5">
            <v>0</v>
          </cell>
        </row>
      </sheetData>
      <sheetData sheetId="158">
        <row r="5">
          <cell r="K5">
            <v>0</v>
          </cell>
        </row>
      </sheetData>
      <sheetData sheetId="159">
        <row r="5">
          <cell r="K5">
            <v>0</v>
          </cell>
        </row>
      </sheetData>
      <sheetData sheetId="160">
        <row r="5">
          <cell r="K5">
            <v>123500</v>
          </cell>
        </row>
      </sheetData>
      <sheetData sheetId="161">
        <row r="5">
          <cell r="K5">
            <v>0</v>
          </cell>
        </row>
      </sheetData>
      <sheetData sheetId="162">
        <row r="5">
          <cell r="K5">
            <v>0</v>
          </cell>
        </row>
      </sheetData>
      <sheetData sheetId="163">
        <row r="5">
          <cell r="K5">
            <v>137000</v>
          </cell>
        </row>
      </sheetData>
      <sheetData sheetId="164">
        <row r="5">
          <cell r="K5">
            <v>22750</v>
          </cell>
        </row>
      </sheetData>
      <sheetData sheetId="165">
        <row r="5">
          <cell r="K5">
            <v>0</v>
          </cell>
        </row>
      </sheetData>
      <sheetData sheetId="166">
        <row r="5">
          <cell r="K5">
            <v>47600</v>
          </cell>
        </row>
      </sheetData>
      <sheetData sheetId="167">
        <row r="5">
          <cell r="K5">
            <v>0</v>
          </cell>
        </row>
      </sheetData>
      <sheetData sheetId="168">
        <row r="5">
          <cell r="K5">
            <v>87800</v>
          </cell>
        </row>
      </sheetData>
      <sheetData sheetId="169">
        <row r="5">
          <cell r="K5">
            <v>0</v>
          </cell>
        </row>
      </sheetData>
      <sheetData sheetId="170">
        <row r="5">
          <cell r="K5">
            <v>95200</v>
          </cell>
        </row>
      </sheetData>
      <sheetData sheetId="171">
        <row r="5">
          <cell r="K5">
            <v>0</v>
          </cell>
        </row>
      </sheetData>
      <sheetData sheetId="172">
        <row r="5">
          <cell r="K5">
            <v>0</v>
          </cell>
        </row>
      </sheetData>
      <sheetData sheetId="173">
        <row r="5">
          <cell r="K5">
            <v>0</v>
          </cell>
        </row>
      </sheetData>
      <sheetData sheetId="174">
        <row r="5">
          <cell r="K5">
            <v>0</v>
          </cell>
        </row>
      </sheetData>
      <sheetData sheetId="175">
        <row r="5">
          <cell r="K5">
            <v>0</v>
          </cell>
        </row>
      </sheetData>
      <sheetData sheetId="176">
        <row r="5">
          <cell r="K5">
            <v>0</v>
          </cell>
        </row>
      </sheetData>
      <sheetData sheetId="177">
        <row r="5">
          <cell r="K5">
            <v>0</v>
          </cell>
        </row>
      </sheetData>
      <sheetData sheetId="178">
        <row r="5">
          <cell r="K5">
            <v>0</v>
          </cell>
        </row>
      </sheetData>
      <sheetData sheetId="179">
        <row r="5">
          <cell r="K5">
            <v>0</v>
          </cell>
        </row>
      </sheetData>
      <sheetData sheetId="180">
        <row r="5">
          <cell r="K5">
            <v>0</v>
          </cell>
        </row>
      </sheetData>
      <sheetData sheetId="181">
        <row r="5">
          <cell r="K5">
            <v>95200</v>
          </cell>
        </row>
      </sheetData>
      <sheetData sheetId="182">
        <row r="5">
          <cell r="K5">
            <v>0</v>
          </cell>
        </row>
      </sheetData>
      <sheetData sheetId="183">
        <row r="5">
          <cell r="K5">
            <v>0</v>
          </cell>
        </row>
      </sheetData>
      <sheetData sheetId="184">
        <row r="5">
          <cell r="K5">
            <v>0</v>
          </cell>
        </row>
      </sheetData>
      <sheetData sheetId="185">
        <row r="5">
          <cell r="K5">
            <v>0</v>
          </cell>
        </row>
      </sheetData>
      <sheetData sheetId="186">
        <row r="5">
          <cell r="K5">
            <v>0</v>
          </cell>
        </row>
      </sheetData>
      <sheetData sheetId="187">
        <row r="5">
          <cell r="K5">
            <v>0</v>
          </cell>
        </row>
      </sheetData>
      <sheetData sheetId="188">
        <row r="5">
          <cell r="K5">
            <v>47600</v>
          </cell>
        </row>
      </sheetData>
      <sheetData sheetId="189">
        <row r="5">
          <cell r="K5">
            <v>0</v>
          </cell>
        </row>
      </sheetData>
      <sheetData sheetId="190">
        <row r="5">
          <cell r="K5">
            <v>0</v>
          </cell>
        </row>
      </sheetData>
      <sheetData sheetId="191">
        <row r="5">
          <cell r="K5">
            <v>0</v>
          </cell>
        </row>
      </sheetData>
      <sheetData sheetId="192">
        <row r="5">
          <cell r="K5">
            <v>47600</v>
          </cell>
        </row>
      </sheetData>
      <sheetData sheetId="193">
        <row r="5">
          <cell r="K5">
            <v>0</v>
          </cell>
        </row>
      </sheetData>
      <sheetData sheetId="194">
        <row r="5">
          <cell r="K5">
            <v>0</v>
          </cell>
        </row>
      </sheetData>
      <sheetData sheetId="195">
        <row r="5">
          <cell r="K5">
            <v>112000</v>
          </cell>
        </row>
      </sheetData>
      <sheetData sheetId="196">
        <row r="5">
          <cell r="K5">
            <v>0</v>
          </cell>
        </row>
      </sheetData>
      <sheetData sheetId="197">
        <row r="5">
          <cell r="K5">
            <v>0</v>
          </cell>
        </row>
      </sheetData>
      <sheetData sheetId="198">
        <row r="5">
          <cell r="K5">
            <v>0</v>
          </cell>
        </row>
      </sheetData>
      <sheetData sheetId="199">
        <row r="5">
          <cell r="K5">
            <v>0</v>
          </cell>
        </row>
      </sheetData>
      <sheetData sheetId="200"/>
      <sheetData sheetId="201">
        <row r="5">
          <cell r="K5">
            <v>87000</v>
          </cell>
        </row>
      </sheetData>
      <sheetData sheetId="202">
        <row r="5">
          <cell r="K5">
            <v>40000</v>
          </cell>
        </row>
      </sheetData>
      <sheetData sheetId="203">
        <row r="5">
          <cell r="K5">
            <v>30000</v>
          </cell>
          <cell r="L5">
            <v>0</v>
          </cell>
        </row>
        <row r="7">
          <cell r="K7">
            <v>0</v>
          </cell>
        </row>
        <row r="8">
          <cell r="K8">
            <v>0</v>
          </cell>
          <cell r="L8">
            <v>0</v>
          </cell>
        </row>
        <row r="9">
          <cell r="K9">
            <v>0</v>
          </cell>
          <cell r="L9">
            <v>0</v>
          </cell>
        </row>
        <row r="10">
          <cell r="K10">
            <v>0</v>
          </cell>
          <cell r="L10">
            <v>0</v>
          </cell>
        </row>
        <row r="11">
          <cell r="K11">
            <v>0</v>
          </cell>
          <cell r="L11">
            <v>0</v>
          </cell>
        </row>
        <row r="12">
          <cell r="K12">
            <v>0</v>
          </cell>
        </row>
        <row r="13">
          <cell r="K13">
            <v>0</v>
          </cell>
          <cell r="L13">
            <v>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</sheetData>
      <sheetData sheetId="204">
        <row r="5">
          <cell r="K5">
            <v>0</v>
          </cell>
          <cell r="L5">
            <v>0</v>
          </cell>
        </row>
        <row r="7">
          <cell r="K7">
            <v>0</v>
          </cell>
        </row>
        <row r="8">
          <cell r="K8">
            <v>0</v>
          </cell>
          <cell r="L8">
            <v>0</v>
          </cell>
        </row>
        <row r="9">
          <cell r="K9">
            <v>0</v>
          </cell>
          <cell r="L9">
            <v>0</v>
          </cell>
        </row>
        <row r="10">
          <cell r="K10">
            <v>0</v>
          </cell>
          <cell r="L10">
            <v>0</v>
          </cell>
        </row>
        <row r="11">
          <cell r="K11">
            <v>0</v>
          </cell>
          <cell r="L11">
            <v>0</v>
          </cell>
        </row>
        <row r="12">
          <cell r="K12">
            <v>0</v>
          </cell>
        </row>
        <row r="13">
          <cell r="K13">
            <v>0</v>
          </cell>
          <cell r="L13">
            <v>0</v>
          </cell>
        </row>
        <row r="14">
          <cell r="K14">
            <v>0</v>
          </cell>
        </row>
        <row r="15">
          <cell r="K15">
            <v>0</v>
          </cell>
          <cell r="L15">
            <v>0</v>
          </cell>
        </row>
        <row r="16">
          <cell r="K16">
            <v>0</v>
          </cell>
          <cell r="L16">
            <v>0</v>
          </cell>
        </row>
      </sheetData>
      <sheetData sheetId="205"/>
    </sheetDataSet>
  </externalBook>
</externalLink>
</file>

<file path=xl/tables/table1.xml><?xml version="1.0" encoding="utf-8"?>
<table xmlns="http://schemas.openxmlformats.org/spreadsheetml/2006/main" id="1" name="Tabla6" displayName="Tabla6" ref="A3:P205" totalsRowShown="0" headerRowDxfId="80">
  <autoFilter ref="A3:P205"/>
  <tableColumns count="16">
    <tableColumn id="1" name="CONCEPTO" dataDxfId="79"/>
    <tableColumn id="2" name="NRO" dataDxfId="78"/>
    <tableColumn id="3" name="LOCATARIO" dataDxfId="77" dataCellStyle="Moneda [0]"/>
    <tableColumn id="4" name="ENERO" dataDxfId="76" dataCellStyle="Moneda [0]"/>
    <tableColumn id="5" name="FEBRERO" dataDxfId="75" dataCellStyle="Moneda [0]">
      <calculatedColumnFormula>[1]P005!$K$6</calculatedColumnFormula>
    </tableColumn>
    <tableColumn id="6" name="MARZO" dataDxfId="74" dataCellStyle="Moneda [0]"/>
    <tableColumn id="7" name="ABRIL" dataDxfId="73" dataCellStyle="Moneda [0]"/>
    <tableColumn id="8" name="MAYO" dataDxfId="72" dataCellStyle="Moneda [0]"/>
    <tableColumn id="9" name="JUNIO" dataDxfId="71" dataCellStyle="Moneda [0]"/>
    <tableColumn id="10" name="JULIO" dataDxfId="70" dataCellStyle="Moneda [0]"/>
    <tableColumn id="11" name="AGOSTO" dataDxfId="69" dataCellStyle="Moneda [0]"/>
    <tableColumn id="12" name="SEPTIEMBRE" dataDxfId="68" dataCellStyle="Moneda [0]"/>
    <tableColumn id="13" name="OCTUBRE" dataDxfId="67" dataCellStyle="Moneda [0]"/>
    <tableColumn id="14" name="NOVIEMBRE" dataDxfId="66" dataCellStyle="Moneda [0]"/>
    <tableColumn id="15" name="DICIEMBRE" dataDxfId="65" dataCellStyle="Moneda [0]"/>
    <tableColumn id="16" name="TOTAL" dataDxfId="64" dataCellStyle="Incorrecto">
      <calculatedColumnFormula>SUM(Tabla6[[#This Row],[ENERO]:[DICIEMBRE]])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Tabla63" displayName="Tabla63" ref="R3:AG205" totalsRowShown="0" headerRowDxfId="63">
  <autoFilter ref="R3:AG205"/>
  <tableColumns count="16">
    <tableColumn id="1" name="CONCEPTO" dataDxfId="62"/>
    <tableColumn id="2" name="NRO" dataDxfId="61"/>
    <tableColumn id="3" name="LOCATARIO" dataDxfId="60"/>
    <tableColumn id="4" name="ENERO" dataDxfId="59"/>
    <tableColumn id="5" name="FEBRERO" dataDxfId="58"/>
    <tableColumn id="6" name="MARZO" dataDxfId="57"/>
    <tableColumn id="7" name="ABRIL" dataDxfId="56"/>
    <tableColumn id="8" name="MAYO" dataDxfId="55"/>
    <tableColumn id="9" name="JUNIO" dataDxfId="54"/>
    <tableColumn id="10" name="JULIO" dataDxfId="53"/>
    <tableColumn id="11" name="AGOSTO" dataDxfId="52"/>
    <tableColumn id="12" name="SEPTIEMBRE" dataDxfId="51"/>
    <tableColumn id="13" name="OCTUBRE" dataDxfId="50"/>
    <tableColumn id="14" name="NOVIEMBRE" dataDxfId="49"/>
    <tableColumn id="15" name="DICIEMBRE" dataDxfId="48"/>
    <tableColumn id="16" name="TOTAL" dataDxfId="47" dataCellStyle="60% - Énfasis6">
      <calculatedColumnFormula>SUM(Tabla63[[#This Row],[ENERO]:[DICIEMBRE]])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id="3" name="Tabla634" displayName="Tabla634" ref="AI3:AX206" totalsRowShown="0" headerRowDxfId="46">
  <autoFilter ref="AI3:AX206"/>
  <tableColumns count="16">
    <tableColumn id="1" name="CONCEPTO" dataDxfId="45"/>
    <tableColumn id="2" name="NRO" dataDxfId="44"/>
    <tableColumn id="3" name="LOCATARIO" dataDxfId="43"/>
    <tableColumn id="4" name="ENERO" dataDxfId="42"/>
    <tableColumn id="5" name="FEBRERO" dataDxfId="41">
      <calculatedColumnFormula>[3]P001!$B$6</calculatedColumnFormula>
    </tableColumn>
    <tableColumn id="6" name="MARZO" dataDxfId="40"/>
    <tableColumn id="7" name="ABRIL" dataDxfId="39"/>
    <tableColumn id="8" name="MAYO" dataDxfId="38">
      <calculatedColumnFormula>[3]P084!$B$9</calculatedColumnFormula>
    </tableColumn>
    <tableColumn id="9" name="JUNIO" dataDxfId="37"/>
    <tableColumn id="10" name="JULIO" dataDxfId="36"/>
    <tableColumn id="11" name="AGOSTO" dataDxfId="35"/>
    <tableColumn id="12" name="SEPTIEMBRE" dataDxfId="34"/>
    <tableColumn id="13" name="OCTUBRE" dataDxfId="33"/>
    <tableColumn id="14" name="NOVIEMBRE" dataDxfId="32"/>
    <tableColumn id="15" name="DICIEMBRE" dataDxfId="31" dataCellStyle="Moneda"/>
    <tableColumn id="16" name="TOTAL" dataDxfId="30" dataCellStyle="Neutral">
      <calculatedColumnFormula>SUM(Tabla634[[#This Row],[ENERO]:[DICIEMBRE]])</calculatedColumnFormula>
    </tableColumn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2:AB21" totalsRowCount="1" headerRowDxfId="29" dataDxfId="28" totalsRowCellStyle="Neutral">
  <autoFilter ref="A2:AB20"/>
  <tableColumns count="28">
    <tableColumn id="57" name="AREA" totalsRowDxfId="27"/>
    <tableColumn id="2" name="PERSONAL" totalsRowLabel="Total" totalsRowDxfId="26"/>
    <tableColumn id="4" name="MODALIDAD" totalsRowDxfId="25"/>
    <tableColumn id="5" name="ene-01" totalsRowFunction="sum" totalsRowDxfId="24"/>
    <tableColumn id="6" name="ene-02" totalsRowFunction="sum" totalsRowDxfId="23"/>
    <tableColumn id="7" name="feb-01" totalsRowFunction="sum" totalsRowDxfId="22"/>
    <tableColumn id="8" name="feb-02" totalsRowFunction="sum" totalsRowDxfId="21"/>
    <tableColumn id="9" name="mar-01" totalsRowFunction="sum" totalsRowDxfId="20"/>
    <tableColumn id="10" name="mar-02" totalsRowFunction="sum" totalsRowDxfId="19"/>
    <tableColumn id="11" name="abr-01" totalsRowFunction="sum" totalsRowDxfId="18"/>
    <tableColumn id="12" name="abr-02" totalsRowFunction="sum" totalsRowDxfId="17"/>
    <tableColumn id="13" name="may-01" totalsRowFunction="sum" totalsRowDxfId="16"/>
    <tableColumn id="14" name="may-02" totalsRowFunction="sum" totalsRowDxfId="15"/>
    <tableColumn id="15" name="jun-01" totalsRowFunction="sum" totalsRowDxfId="14"/>
    <tableColumn id="16" name="jun-02" totalsRowFunction="sum" totalsRowDxfId="13"/>
    <tableColumn id="17" name="jul-01" totalsRowFunction="sum" totalsRowDxfId="12"/>
    <tableColumn id="18" name="jul-02" totalsRowFunction="sum" totalsRowDxfId="11"/>
    <tableColumn id="19" name="ago-01" totalsRowFunction="sum" totalsRowDxfId="10"/>
    <tableColumn id="20" name="ago-02" totalsRowFunction="sum" totalsRowDxfId="9"/>
    <tableColumn id="21" name="sept-01" totalsRowFunction="sum" totalsRowDxfId="8"/>
    <tableColumn id="22" name="sept-02" totalsRowFunction="sum" totalsRowDxfId="7"/>
    <tableColumn id="23" name="oct-01" totalsRowFunction="sum" totalsRowDxfId="6"/>
    <tableColumn id="24" name="oct-02" totalsRowFunction="sum" totalsRowDxfId="5"/>
    <tableColumn id="25" name="nov-01" totalsRowFunction="sum" totalsRowDxfId="4"/>
    <tableColumn id="26" name="nov-02" totalsRowFunction="sum" totalsRowDxfId="3"/>
    <tableColumn id="27" name="dic-01" totalsRowFunction="sum" totalsRowDxfId="2"/>
    <tableColumn id="28" name="dic-02" totalsRowFunction="sum" totalsRowDxfId="1"/>
    <tableColumn id="29" name="AGUINALDO" totalsRowFunction="sum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tabSelected="1" topLeftCell="A28" zoomScale="90" zoomScaleNormal="90" workbookViewId="0">
      <selection activeCell="B50" sqref="B50"/>
    </sheetView>
  </sheetViews>
  <sheetFormatPr baseColWidth="10" defaultRowHeight="15"/>
  <cols>
    <col min="1" max="1" width="17" style="83" bestFit="1" customWidth="1"/>
    <col min="2" max="2" width="15" customWidth="1"/>
    <col min="3" max="3" width="13.85546875" customWidth="1"/>
    <col min="4" max="4" width="13.85546875" bestFit="1" customWidth="1"/>
    <col min="5" max="5" width="14.85546875" bestFit="1" customWidth="1"/>
    <col min="6" max="6" width="13.85546875" bestFit="1" customWidth="1"/>
    <col min="7" max="7" width="14.7109375" customWidth="1"/>
    <col min="8" max="8" width="15" bestFit="1" customWidth="1"/>
    <col min="9" max="9" width="15" customWidth="1"/>
    <col min="10" max="10" width="14.28515625" customWidth="1"/>
    <col min="11" max="12" width="14.85546875" customWidth="1"/>
    <col min="13" max="14" width="15.5703125" customWidth="1"/>
    <col min="15" max="15" width="15.85546875" customWidth="1"/>
  </cols>
  <sheetData>
    <row r="1" spans="1:48" ht="15.75" hidden="1" thickBot="1"/>
    <row r="2" spans="1:48" ht="21" hidden="1">
      <c r="A2" s="421" t="s">
        <v>115</v>
      </c>
      <c r="B2" s="422"/>
      <c r="C2" s="422"/>
      <c r="D2" s="422"/>
      <c r="E2" s="422"/>
      <c r="F2" s="422"/>
      <c r="G2" s="422"/>
      <c r="H2" s="423"/>
    </row>
    <row r="3" spans="1:48" s="87" customFormat="1" ht="15.75" hidden="1">
      <c r="A3" s="114"/>
      <c r="B3" s="115" t="s">
        <v>118</v>
      </c>
      <c r="C3" s="115" t="s">
        <v>119</v>
      </c>
      <c r="D3" s="115" t="s">
        <v>120</v>
      </c>
      <c r="E3" s="115" t="s">
        <v>121</v>
      </c>
      <c r="F3" s="115" t="s">
        <v>122</v>
      </c>
      <c r="G3" s="115" t="s">
        <v>52</v>
      </c>
      <c r="H3" s="174" t="s">
        <v>117</v>
      </c>
    </row>
    <row r="4" spans="1:48" s="82" customFormat="1" hidden="1">
      <c r="A4" s="116" t="s">
        <v>11</v>
      </c>
      <c r="B4" s="86"/>
      <c r="C4" s="86"/>
      <c r="D4" s="86"/>
      <c r="E4" s="86"/>
      <c r="F4" s="86"/>
      <c r="G4" s="417">
        <f>SUM(B5:F5)</f>
        <v>0</v>
      </c>
      <c r="H4" s="419">
        <f>G4/5</f>
        <v>0</v>
      </c>
    </row>
    <row r="5" spans="1:48" s="89" customFormat="1" hidden="1">
      <c r="A5" s="117"/>
      <c r="B5" s="302"/>
      <c r="C5" s="88"/>
      <c r="D5" s="88"/>
      <c r="E5" s="88"/>
      <c r="F5" s="88"/>
      <c r="G5" s="418"/>
      <c r="H5" s="420"/>
    </row>
    <row r="6" spans="1:48" hidden="1">
      <c r="A6" s="118" t="s">
        <v>10</v>
      </c>
      <c r="B6" s="303"/>
      <c r="C6" s="303"/>
      <c r="D6" s="304"/>
      <c r="E6" s="304"/>
      <c r="F6" s="304"/>
      <c r="G6" s="417">
        <f>SUM(B7:F7)</f>
        <v>0</v>
      </c>
      <c r="H6" s="419">
        <f>G6/4</f>
        <v>0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</row>
    <row r="7" spans="1:48" s="89" customFormat="1" hidden="1">
      <c r="A7" s="119"/>
      <c r="B7" s="305"/>
      <c r="C7" s="91"/>
      <c r="D7" s="91"/>
      <c r="E7" s="91"/>
      <c r="F7" s="91"/>
      <c r="G7" s="418"/>
      <c r="H7" s="420"/>
    </row>
    <row r="8" spans="1:48" hidden="1">
      <c r="A8" s="120" t="s">
        <v>9</v>
      </c>
      <c r="B8" s="84"/>
      <c r="C8" s="84"/>
      <c r="D8" s="84"/>
      <c r="E8" s="84"/>
      <c r="F8" s="84"/>
      <c r="G8" s="417">
        <f>SUM(B9:F9)</f>
        <v>0</v>
      </c>
      <c r="H8" s="419">
        <f>G8/4</f>
        <v>0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</row>
    <row r="9" spans="1:48" s="89" customFormat="1" hidden="1">
      <c r="A9" s="121"/>
      <c r="B9" s="306"/>
      <c r="C9" s="93"/>
      <c r="D9" s="93"/>
      <c r="E9" s="93"/>
      <c r="F9" s="93"/>
      <c r="G9" s="418"/>
      <c r="H9" s="420"/>
    </row>
    <row r="10" spans="1:48" hidden="1">
      <c r="A10" s="118" t="s">
        <v>8</v>
      </c>
      <c r="B10" s="85"/>
      <c r="C10" s="85"/>
      <c r="D10" s="85"/>
      <c r="E10" s="85"/>
      <c r="F10" s="85"/>
      <c r="G10" s="417">
        <f>SUM(B11:F11)</f>
        <v>0</v>
      </c>
      <c r="H10" s="419">
        <f>G10/5</f>
        <v>0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</row>
    <row r="11" spans="1:48" s="89" customFormat="1" hidden="1">
      <c r="A11" s="119"/>
      <c r="B11" s="305"/>
      <c r="C11" s="91"/>
      <c r="D11" s="91"/>
      <c r="E11" s="91"/>
      <c r="F11" s="91"/>
      <c r="G11" s="418"/>
      <c r="H11" s="420"/>
    </row>
    <row r="12" spans="1:48" hidden="1">
      <c r="A12" s="120" t="s">
        <v>7</v>
      </c>
      <c r="B12" s="84"/>
      <c r="C12" s="84"/>
      <c r="D12" s="84"/>
      <c r="E12" s="84"/>
      <c r="F12" s="84"/>
      <c r="G12" s="417">
        <f>SUM(B13:F13)</f>
        <v>0</v>
      </c>
      <c r="H12" s="419">
        <f>G12/4</f>
        <v>0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</row>
    <row r="13" spans="1:48" s="89" customFormat="1" hidden="1">
      <c r="A13" s="121"/>
      <c r="B13" s="306"/>
      <c r="C13" s="93"/>
      <c r="D13" s="93"/>
      <c r="E13" s="93"/>
      <c r="F13" s="93"/>
      <c r="G13" s="418"/>
      <c r="H13" s="420"/>
    </row>
    <row r="14" spans="1:48" hidden="1">
      <c r="A14" s="118" t="s">
        <v>6</v>
      </c>
      <c r="B14" s="85"/>
      <c r="C14" s="85"/>
      <c r="D14" s="85"/>
      <c r="E14" s="85"/>
      <c r="F14" s="85"/>
      <c r="G14" s="417">
        <f>SUM(B15:F15)</f>
        <v>0</v>
      </c>
      <c r="H14" s="424">
        <f>G14/4</f>
        <v>0</v>
      </c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</row>
    <row r="15" spans="1:48" s="89" customFormat="1" hidden="1">
      <c r="A15" s="119"/>
      <c r="B15" s="305"/>
      <c r="C15" s="91"/>
      <c r="D15" s="91"/>
      <c r="E15" s="91"/>
      <c r="F15" s="91"/>
      <c r="G15" s="418"/>
      <c r="H15" s="425"/>
    </row>
    <row r="16" spans="1:48" hidden="1">
      <c r="A16" s="120" t="s">
        <v>5</v>
      </c>
      <c r="B16" s="84"/>
      <c r="C16" s="84"/>
      <c r="D16" s="84"/>
      <c r="E16" s="84"/>
      <c r="F16" s="84" t="s">
        <v>196</v>
      </c>
      <c r="G16" s="417">
        <f>SUM(B17:F17)</f>
        <v>0</v>
      </c>
      <c r="H16" s="426">
        <f>G16/5</f>
        <v>0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 spans="1:22" s="89" customFormat="1" hidden="1">
      <c r="A17" s="121"/>
      <c r="B17" s="306"/>
      <c r="C17" s="307"/>
      <c r="D17" s="93"/>
      <c r="E17" s="93"/>
      <c r="F17" s="93"/>
      <c r="G17" s="418"/>
      <c r="H17" s="427"/>
    </row>
    <row r="18" spans="1:22" hidden="1">
      <c r="A18" s="118" t="s">
        <v>4</v>
      </c>
      <c r="B18" s="85"/>
      <c r="C18" s="85"/>
      <c r="D18" s="85"/>
      <c r="E18" s="85"/>
      <c r="F18" s="85"/>
      <c r="G18" s="417">
        <f>SUM(B19:F19)</f>
        <v>0</v>
      </c>
      <c r="H18" s="428">
        <f>G18/4</f>
        <v>0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</row>
    <row r="19" spans="1:22" s="89" customFormat="1" hidden="1">
      <c r="A19" s="119"/>
      <c r="B19" s="90"/>
      <c r="C19" s="91"/>
      <c r="D19" s="91"/>
      <c r="E19" s="91"/>
      <c r="F19" s="91"/>
      <c r="G19" s="418"/>
      <c r="H19" s="429"/>
    </row>
    <row r="20" spans="1:22" hidden="1">
      <c r="A20" s="120" t="s">
        <v>3</v>
      </c>
      <c r="B20" s="84"/>
      <c r="C20" s="84"/>
      <c r="D20" s="84"/>
      <c r="E20" s="84"/>
      <c r="F20" s="84"/>
      <c r="G20" s="417">
        <f>SUM(B21:F21)</f>
        <v>0</v>
      </c>
      <c r="H20" s="430">
        <f>G20/4</f>
        <v>0</v>
      </c>
      <c r="I20" s="83"/>
      <c r="J20" s="83"/>
      <c r="K20" s="83"/>
      <c r="L20" s="83"/>
      <c r="M20" s="83"/>
      <c r="N20" s="83"/>
      <c r="O20" s="83"/>
      <c r="P20" s="83"/>
      <c r="Q20" s="83"/>
      <c r="R20" s="83"/>
    </row>
    <row r="21" spans="1:22" s="89" customFormat="1" hidden="1">
      <c r="A21" s="121"/>
      <c r="B21" s="92"/>
      <c r="D21" s="93"/>
      <c r="E21" s="93"/>
      <c r="F21" s="93"/>
      <c r="G21" s="418"/>
      <c r="H21" s="431"/>
    </row>
    <row r="22" spans="1:22" hidden="1">
      <c r="A22" s="118" t="s">
        <v>2</v>
      </c>
      <c r="B22" s="85"/>
      <c r="C22" s="85"/>
      <c r="D22" s="85"/>
      <c r="E22" s="85"/>
      <c r="F22" s="85"/>
      <c r="G22" s="417">
        <f>SUM(B23:F23)</f>
        <v>0</v>
      </c>
      <c r="H22" s="419">
        <f>G22/5</f>
        <v>0</v>
      </c>
      <c r="I22" s="83"/>
      <c r="J22" s="83"/>
      <c r="K22" s="83"/>
      <c r="L22" s="83"/>
      <c r="M22" s="83"/>
      <c r="N22" s="83"/>
    </row>
    <row r="23" spans="1:22" s="89" customFormat="1" hidden="1">
      <c r="A23" s="119"/>
      <c r="B23" s="90"/>
      <c r="C23" s="91"/>
      <c r="D23" s="91"/>
      <c r="E23" s="91"/>
      <c r="F23" s="91"/>
      <c r="G23" s="418"/>
      <c r="H23" s="420"/>
    </row>
    <row r="24" spans="1:22" hidden="1">
      <c r="A24" s="120" t="s">
        <v>1</v>
      </c>
      <c r="B24" s="84"/>
      <c r="C24" s="84"/>
      <c r="D24" s="84"/>
      <c r="E24" s="84"/>
      <c r="F24" s="84"/>
      <c r="G24" s="417">
        <f>SUM(B25:F25)</f>
        <v>0</v>
      </c>
      <c r="H24" s="419">
        <f>G24/5</f>
        <v>0</v>
      </c>
      <c r="I24" s="83"/>
    </row>
    <row r="25" spans="1:22" s="89" customFormat="1" hidden="1">
      <c r="A25" s="121"/>
      <c r="B25" s="93"/>
      <c r="C25" s="93"/>
      <c r="D25" s="93"/>
      <c r="E25" s="93"/>
      <c r="F25" s="93"/>
      <c r="G25" s="418"/>
      <c r="H25" s="420"/>
    </row>
    <row r="26" spans="1:22" hidden="1">
      <c r="A26" s="118" t="s">
        <v>0</v>
      </c>
      <c r="B26" s="85"/>
      <c r="C26" s="85"/>
      <c r="D26" s="85"/>
      <c r="E26" s="85"/>
      <c r="F26" s="85"/>
      <c r="G26" s="417">
        <f>SUM(B27:F27)</f>
        <v>0</v>
      </c>
      <c r="H26" s="419">
        <f>G26/5</f>
        <v>0</v>
      </c>
    </row>
    <row r="27" spans="1:22" s="89" customFormat="1" ht="15.75" hidden="1" thickBot="1">
      <c r="A27" s="122"/>
      <c r="B27" s="123"/>
      <c r="C27" s="123"/>
      <c r="D27" s="123"/>
      <c r="E27" s="123"/>
      <c r="F27" s="123"/>
      <c r="G27" s="444"/>
      <c r="H27" s="420"/>
    </row>
    <row r="28" spans="1:22">
      <c r="B28" s="81"/>
    </row>
    <row r="29" spans="1:22">
      <c r="B29" s="81"/>
    </row>
    <row r="30" spans="1:22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</row>
    <row r="31" spans="1:22" s="89" customFormat="1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</row>
    <row r="32" spans="1:22" s="89" customFormat="1">
      <c r="A32" s="99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</row>
    <row r="33" spans="1:17" s="89" customFormat="1">
      <c r="A33" s="438" t="s">
        <v>125</v>
      </c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40"/>
    </row>
    <row r="34" spans="1:17" s="89" customFormat="1">
      <c r="A34" s="101" t="s">
        <v>116</v>
      </c>
      <c r="B34" s="102" t="s">
        <v>11</v>
      </c>
      <c r="C34" s="102" t="s">
        <v>10</v>
      </c>
      <c r="D34" s="102" t="s">
        <v>9</v>
      </c>
      <c r="E34" s="102" t="s">
        <v>8</v>
      </c>
      <c r="F34" s="102" t="s">
        <v>7</v>
      </c>
      <c r="G34" s="102" t="s">
        <v>6</v>
      </c>
      <c r="H34" s="102" t="s">
        <v>5</v>
      </c>
      <c r="I34" s="102" t="s">
        <v>4</v>
      </c>
      <c r="J34" s="102" t="s">
        <v>3</v>
      </c>
      <c r="K34" s="102" t="s">
        <v>2</v>
      </c>
      <c r="L34" s="102" t="s">
        <v>1</v>
      </c>
      <c r="M34" s="103" t="s">
        <v>0</v>
      </c>
    </row>
    <row r="35" spans="1:17" s="98" customFormat="1">
      <c r="A35" s="99" t="s">
        <v>123</v>
      </c>
      <c r="B35" s="104">
        <f>'DEUDAS, RECAUDADO Y PROYECTADO'!U206</f>
        <v>15510435</v>
      </c>
      <c r="C35" s="104">
        <f>'DEUDAS, RECAUDADO Y PROYECTADO'!V206</f>
        <v>9265750</v>
      </c>
      <c r="D35" s="104">
        <f>'DEUDAS, RECAUDADO Y PROYECTADO'!W206</f>
        <v>0</v>
      </c>
      <c r="E35" s="104">
        <f>'DEUDAS, RECAUDADO Y PROYECTADO'!X206</f>
        <v>0</v>
      </c>
      <c r="F35" s="104">
        <f>'DEUDAS, RECAUDADO Y PROYECTADO'!Y206</f>
        <v>0</v>
      </c>
      <c r="G35" s="104">
        <f>'DEUDAS, RECAUDADO Y PROYECTADO'!Z206</f>
        <v>0</v>
      </c>
      <c r="H35" s="104">
        <f>'DEUDAS, RECAUDADO Y PROYECTADO'!AA206</f>
        <v>0</v>
      </c>
      <c r="I35" s="104">
        <f>'DEUDAS, RECAUDADO Y PROYECTADO'!AB206</f>
        <v>0</v>
      </c>
      <c r="J35" s="104">
        <f>'DEUDAS, RECAUDADO Y PROYECTADO'!AC206</f>
        <v>0</v>
      </c>
      <c r="K35" s="104">
        <f>'DEUDAS, RECAUDADO Y PROYECTADO'!AD206</f>
        <v>0</v>
      </c>
      <c r="L35" s="104">
        <f>'DEUDAS, RECAUDADO Y PROYECTADO'!AE206</f>
        <v>0</v>
      </c>
      <c r="M35" s="105">
        <f>'DEUDAS, RECAUDADO Y PROYECTADO'!AF206</f>
        <v>0</v>
      </c>
    </row>
    <row r="36" spans="1:17" s="89" customFormat="1">
      <c r="A36" s="441" t="s">
        <v>126</v>
      </c>
      <c r="B36" s="442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3"/>
    </row>
    <row r="37" spans="1:17" s="89" customFormat="1">
      <c r="A37" s="127" t="s">
        <v>116</v>
      </c>
      <c r="B37" s="125" t="s">
        <v>11</v>
      </c>
      <c r="C37" s="125" t="s">
        <v>10</v>
      </c>
      <c r="D37" s="125" t="s">
        <v>9</v>
      </c>
      <c r="E37" s="125" t="s">
        <v>8</v>
      </c>
      <c r="F37" s="125" t="s">
        <v>7</v>
      </c>
      <c r="G37" s="125" t="s">
        <v>6</v>
      </c>
      <c r="H37" s="125" t="s">
        <v>5</v>
      </c>
      <c r="I37" s="125" t="s">
        <v>4</v>
      </c>
      <c r="J37" s="125" t="s">
        <v>3</v>
      </c>
      <c r="K37" s="125" t="s">
        <v>2</v>
      </c>
      <c r="L37" s="125" t="s">
        <v>1</v>
      </c>
      <c r="M37" s="128" t="s">
        <v>0</v>
      </c>
    </row>
    <row r="38" spans="1:17" s="89" customFormat="1">
      <c r="A38" s="99" t="s">
        <v>123</v>
      </c>
      <c r="B38" s="106">
        <f>'DEUDAS, RECAUDADO Y PROYECTADO'!AL207</f>
        <v>29674815</v>
      </c>
      <c r="C38" s="106">
        <f>'DEUDAS, RECAUDADO Y PROYECTADO'!AM207</f>
        <v>30038615</v>
      </c>
      <c r="D38" s="106">
        <f>'DEUDAS, RECAUDADO Y PROYECTADO'!AN207</f>
        <v>0</v>
      </c>
      <c r="E38" s="106">
        <f>'DEUDAS, RECAUDADO Y PROYECTADO'!AO207</f>
        <v>0</v>
      </c>
      <c r="F38" s="106">
        <f>'DEUDAS, RECAUDADO Y PROYECTADO'!AP207</f>
        <v>0</v>
      </c>
      <c r="G38" s="106">
        <f>'DEUDAS, RECAUDADO Y PROYECTADO'!AQ207</f>
        <v>0</v>
      </c>
      <c r="H38" s="106">
        <f>'DEUDAS, RECAUDADO Y PROYECTADO'!AR207</f>
        <v>0</v>
      </c>
      <c r="I38" s="106">
        <f>'DEUDAS, RECAUDADO Y PROYECTADO'!AS207</f>
        <v>0</v>
      </c>
      <c r="J38" s="106">
        <f>'DEUDAS, RECAUDADO Y PROYECTADO'!AT207</f>
        <v>0</v>
      </c>
      <c r="K38" s="106">
        <f>'DEUDAS, RECAUDADO Y PROYECTADO'!AU207</f>
        <v>0</v>
      </c>
      <c r="L38" s="106">
        <f>'DEUDAS, RECAUDADO Y PROYECTADO'!AV207</f>
        <v>0</v>
      </c>
      <c r="M38" s="107">
        <f>'DEUDAS, RECAUDADO Y PROYECTADO'!AW207</f>
        <v>0</v>
      </c>
    </row>
    <row r="39" spans="1:17" s="89" customFormat="1">
      <c r="A39" s="108"/>
      <c r="B39" s="109"/>
      <c r="C39" s="109"/>
      <c r="D39" s="109"/>
      <c r="E39" s="109"/>
      <c r="F39" s="109"/>
      <c r="G39" s="109" t="s">
        <v>56</v>
      </c>
      <c r="H39" s="109"/>
      <c r="I39" s="109"/>
      <c r="J39" s="109"/>
      <c r="K39" s="109"/>
      <c r="L39" s="109"/>
      <c r="M39" s="110"/>
    </row>
    <row r="40" spans="1:17">
      <c r="A40" s="129" t="s">
        <v>116</v>
      </c>
      <c r="B40" s="126" t="s">
        <v>11</v>
      </c>
      <c r="C40" s="126" t="s">
        <v>10</v>
      </c>
      <c r="D40" s="126" t="s">
        <v>9</v>
      </c>
      <c r="E40" s="126" t="s">
        <v>8</v>
      </c>
      <c r="F40" s="126" t="s">
        <v>7</v>
      </c>
      <c r="G40" s="126" t="s">
        <v>6</v>
      </c>
      <c r="H40" s="126" t="s">
        <v>5</v>
      </c>
      <c r="I40" s="126" t="s">
        <v>4</v>
      </c>
      <c r="J40" s="126" t="s">
        <v>3</v>
      </c>
      <c r="K40" s="126" t="s">
        <v>2</v>
      </c>
      <c r="L40" s="126" t="s">
        <v>1</v>
      </c>
      <c r="M40" s="130" t="s">
        <v>0</v>
      </c>
    </row>
    <row r="41" spans="1:17">
      <c r="A41" s="111" t="s">
        <v>52</v>
      </c>
      <c r="B41" s="112">
        <f>'DEUDAS, RECAUDADO Y PROYECTADO'!D206</f>
        <v>10719235</v>
      </c>
      <c r="C41" s="112">
        <f>C38-C35</f>
        <v>20772865</v>
      </c>
      <c r="D41" s="112">
        <f t="shared" ref="D41:M41" si="0">D38-D35</f>
        <v>0</v>
      </c>
      <c r="E41" s="112">
        <f t="shared" si="0"/>
        <v>0</v>
      </c>
      <c r="F41" s="112">
        <f t="shared" si="0"/>
        <v>0</v>
      </c>
      <c r="G41" s="112">
        <f>G38-G35</f>
        <v>0</v>
      </c>
      <c r="H41" s="112">
        <f t="shared" si="0"/>
        <v>0</v>
      </c>
      <c r="I41" s="112">
        <f t="shared" si="0"/>
        <v>0</v>
      </c>
      <c r="J41" s="112">
        <f t="shared" si="0"/>
        <v>0</v>
      </c>
      <c r="K41" s="112">
        <f t="shared" si="0"/>
        <v>0</v>
      </c>
      <c r="L41" s="112">
        <f t="shared" si="0"/>
        <v>0</v>
      </c>
      <c r="M41" s="112">
        <f t="shared" si="0"/>
        <v>0</v>
      </c>
      <c r="N41" s="195">
        <f>SUM(B41:M41)</f>
        <v>31492100</v>
      </c>
    </row>
    <row r="42" spans="1:17" ht="15.75" thickBot="1">
      <c r="A42" s="113" t="s">
        <v>127</v>
      </c>
      <c r="B42" s="171">
        <f>B41/B38</f>
        <v>0.36122331343935926</v>
      </c>
      <c r="C42" s="171">
        <f>C41/C38</f>
        <v>0.69153870775999493</v>
      </c>
      <c r="D42" s="171" t="e">
        <f t="shared" ref="C42:M42" si="1">D41/D38</f>
        <v>#DIV/0!</v>
      </c>
      <c r="E42" s="171" t="e">
        <f t="shared" si="1"/>
        <v>#DIV/0!</v>
      </c>
      <c r="F42" s="171" t="e">
        <f t="shared" si="1"/>
        <v>#DIV/0!</v>
      </c>
      <c r="G42" s="171" t="e">
        <f t="shared" si="1"/>
        <v>#DIV/0!</v>
      </c>
      <c r="H42" s="171" t="e">
        <f t="shared" si="1"/>
        <v>#DIV/0!</v>
      </c>
      <c r="I42" s="171" t="e">
        <f t="shared" si="1"/>
        <v>#DIV/0!</v>
      </c>
      <c r="J42" s="171" t="e">
        <f t="shared" si="1"/>
        <v>#DIV/0!</v>
      </c>
      <c r="K42" s="171" t="e">
        <f>K41/K38</f>
        <v>#DIV/0!</v>
      </c>
      <c r="L42" s="171" t="e">
        <f t="shared" si="1"/>
        <v>#DIV/0!</v>
      </c>
      <c r="M42" s="171" t="e">
        <f t="shared" si="1"/>
        <v>#DIV/0!</v>
      </c>
      <c r="N42" s="403" t="e">
        <f>AVERAGE(B42:M42)</f>
        <v>#DIV/0!</v>
      </c>
      <c r="Q42" t="s">
        <v>28</v>
      </c>
    </row>
    <row r="43" spans="1:17">
      <c r="B43" s="172" t="s">
        <v>28</v>
      </c>
      <c r="C43" s="172" t="s">
        <v>28</v>
      </c>
      <c r="D43" s="172" t="s">
        <v>28</v>
      </c>
      <c r="E43" s="172" t="s">
        <v>28</v>
      </c>
      <c r="F43" s="173"/>
    </row>
    <row r="44" spans="1:17" ht="15.75" thickBot="1"/>
    <row r="45" spans="1:17">
      <c r="A45" s="435" t="s">
        <v>128</v>
      </c>
      <c r="B45" s="436"/>
      <c r="C45" s="436"/>
      <c r="D45" s="436"/>
      <c r="E45" s="436"/>
      <c r="F45" s="436"/>
      <c r="G45" s="436"/>
      <c r="H45" s="436"/>
      <c r="I45" s="436"/>
      <c r="J45" s="436"/>
      <c r="K45" s="436"/>
      <c r="L45" s="436"/>
      <c r="M45" s="437"/>
      <c r="N45" s="138" t="s">
        <v>52</v>
      </c>
      <c r="O45" s="139" t="s">
        <v>117</v>
      </c>
    </row>
    <row r="46" spans="1:17">
      <c r="A46" s="133" t="s">
        <v>116</v>
      </c>
      <c r="B46" s="132" t="s">
        <v>11</v>
      </c>
      <c r="C46" s="132" t="s">
        <v>10</v>
      </c>
      <c r="D46" s="132" t="s">
        <v>9</v>
      </c>
      <c r="E46" s="132" t="s">
        <v>8</v>
      </c>
      <c r="F46" s="132" t="s">
        <v>7</v>
      </c>
      <c r="G46" s="132" t="s">
        <v>6</v>
      </c>
      <c r="H46" s="132" t="s">
        <v>5</v>
      </c>
      <c r="I46" s="132" t="s">
        <v>4</v>
      </c>
      <c r="J46" s="132" t="s">
        <v>3</v>
      </c>
      <c r="K46" s="132" t="s">
        <v>2</v>
      </c>
      <c r="L46" s="132" t="s">
        <v>1</v>
      </c>
      <c r="M46" s="134" t="s">
        <v>0</v>
      </c>
      <c r="N46" s="140"/>
      <c r="O46" s="141"/>
    </row>
    <row r="47" spans="1:17">
      <c r="A47" s="99" t="s">
        <v>123</v>
      </c>
      <c r="B47" s="143">
        <f>GASTOS!B36</f>
        <v>23512838.619999997</v>
      </c>
      <c r="C47" s="143">
        <f>GASTOS!U36</f>
        <v>0</v>
      </c>
      <c r="D47" s="143">
        <f>GASTOS!AN36</f>
        <v>0</v>
      </c>
      <c r="E47" s="143">
        <f>GASTOS!BG36</f>
        <v>0</v>
      </c>
      <c r="F47" s="143">
        <f>GASTOS!BZ36</f>
        <v>0</v>
      </c>
      <c r="G47" s="143">
        <f>GASTOS!CS36</f>
        <v>0</v>
      </c>
      <c r="H47" s="143">
        <f>GASTOS!B80</f>
        <v>0</v>
      </c>
      <c r="I47" s="143">
        <f>GASTOS!U80</f>
        <v>0</v>
      </c>
      <c r="J47" s="143">
        <f>GASTOS!AN80</f>
        <v>0</v>
      </c>
      <c r="K47" s="398">
        <v>0</v>
      </c>
      <c r="L47" s="398">
        <f>GASTOS!BZ80</f>
        <v>0</v>
      </c>
      <c r="M47" s="143">
        <f>GASTOS!CS80</f>
        <v>0</v>
      </c>
      <c r="N47" s="140">
        <f>SUM(B47:M47)</f>
        <v>23512838.619999997</v>
      </c>
      <c r="O47" s="175">
        <f>N47/12</f>
        <v>1959403.218333333</v>
      </c>
    </row>
    <row r="48" spans="1:17">
      <c r="A48" s="432" t="s">
        <v>129</v>
      </c>
      <c r="B48" s="433"/>
      <c r="C48" s="433"/>
      <c r="D48" s="433"/>
      <c r="E48" s="433"/>
      <c r="F48" s="433"/>
      <c r="G48" s="433"/>
      <c r="H48" s="433"/>
      <c r="I48" s="433"/>
      <c r="J48" s="433"/>
      <c r="K48" s="433"/>
      <c r="L48" s="433"/>
      <c r="M48" s="434"/>
      <c r="N48" s="140"/>
      <c r="O48" s="141"/>
    </row>
    <row r="49" spans="1:15">
      <c r="A49" s="135" t="s">
        <v>116</v>
      </c>
      <c r="B49" s="131" t="s">
        <v>11</v>
      </c>
      <c r="C49" s="131" t="s">
        <v>10</v>
      </c>
      <c r="D49" s="131" t="s">
        <v>9</v>
      </c>
      <c r="E49" s="131" t="s">
        <v>8</v>
      </c>
      <c r="F49" s="131" t="s">
        <v>7</v>
      </c>
      <c r="G49" s="131" t="s">
        <v>6</v>
      </c>
      <c r="H49" s="131" t="s">
        <v>5</v>
      </c>
      <c r="I49" s="131" t="s">
        <v>4</v>
      </c>
      <c r="J49" s="131" t="s">
        <v>3</v>
      </c>
      <c r="K49" s="131" t="s">
        <v>2</v>
      </c>
      <c r="L49" s="131" t="s">
        <v>1</v>
      </c>
      <c r="M49" s="136" t="s">
        <v>0</v>
      </c>
      <c r="N49" s="140"/>
      <c r="O49" s="141"/>
    </row>
    <row r="50" spans="1:15" ht="15.75" thickBot="1">
      <c r="A50" s="137" t="s">
        <v>123</v>
      </c>
      <c r="B50" s="124">
        <f>B35-B47</f>
        <v>-8002403.6199999973</v>
      </c>
      <c r="C50" s="124">
        <f t="shared" ref="C50:M50" si="2">C35-C47</f>
        <v>9265750</v>
      </c>
      <c r="D50" s="124">
        <f t="shared" si="2"/>
        <v>0</v>
      </c>
      <c r="E50" s="124">
        <f t="shared" si="2"/>
        <v>0</v>
      </c>
      <c r="F50" s="124">
        <f t="shared" si="2"/>
        <v>0</v>
      </c>
      <c r="G50" s="124">
        <f t="shared" si="2"/>
        <v>0</v>
      </c>
      <c r="H50" s="124">
        <f t="shared" si="2"/>
        <v>0</v>
      </c>
      <c r="I50" s="124">
        <f t="shared" si="2"/>
        <v>0</v>
      </c>
      <c r="J50" s="124">
        <f t="shared" si="2"/>
        <v>0</v>
      </c>
      <c r="K50" s="124">
        <f>K35-K47</f>
        <v>0</v>
      </c>
      <c r="L50" s="124">
        <f t="shared" si="2"/>
        <v>0</v>
      </c>
      <c r="M50" s="124">
        <f t="shared" si="2"/>
        <v>0</v>
      </c>
      <c r="N50" s="142">
        <f>SUM(B50:M50)</f>
        <v>1263346.3800000027</v>
      </c>
      <c r="O50" s="176">
        <f>N50/12</f>
        <v>105278.86500000022</v>
      </c>
    </row>
    <row r="51" spans="1:15">
      <c r="B51" s="81"/>
      <c r="J51" t="s">
        <v>28</v>
      </c>
      <c r="L51" s="195">
        <f>L38-L47</f>
        <v>0</v>
      </c>
      <c r="M51" s="195">
        <f>M38-M47</f>
        <v>0</v>
      </c>
    </row>
    <row r="52" spans="1:15">
      <c r="B52" s="81"/>
    </row>
    <row r="53" spans="1:15">
      <c r="B53" s="308"/>
    </row>
    <row r="54" spans="1:15">
      <c r="A54" s="310" t="s">
        <v>197</v>
      </c>
      <c r="B54" s="308"/>
      <c r="C54" s="314" t="s">
        <v>195</v>
      </c>
      <c r="J54" s="314" t="s">
        <v>198</v>
      </c>
      <c r="K54" s="314" t="s">
        <v>199</v>
      </c>
    </row>
    <row r="55" spans="1:15">
      <c r="A55" s="310" t="s">
        <v>200</v>
      </c>
      <c r="B55" s="311">
        <f>B35</f>
        <v>15510435</v>
      </c>
      <c r="C55" s="311">
        <f>B41</f>
        <v>10719235</v>
      </c>
      <c r="I55" s="310" t="s">
        <v>200</v>
      </c>
      <c r="J55" s="318">
        <f>B47</f>
        <v>23512838.619999997</v>
      </c>
      <c r="K55" s="319">
        <f t="shared" ref="K55:K60" si="3">(J55*100)/B55</f>
        <v>151.59367625730675</v>
      </c>
    </row>
    <row r="56" spans="1:15">
      <c r="A56" s="310" t="s">
        <v>201</v>
      </c>
      <c r="B56" s="311">
        <f>C35</f>
        <v>9265750</v>
      </c>
      <c r="C56" s="311">
        <f>C41</f>
        <v>20772865</v>
      </c>
      <c r="I56" s="310" t="s">
        <v>201</v>
      </c>
      <c r="J56" s="318">
        <f>C47</f>
        <v>0</v>
      </c>
      <c r="K56" s="319">
        <f t="shared" si="3"/>
        <v>0</v>
      </c>
    </row>
    <row r="57" spans="1:15">
      <c r="A57" s="310" t="s">
        <v>202</v>
      </c>
      <c r="B57" s="311">
        <f>D35</f>
        <v>0</v>
      </c>
      <c r="C57" s="311">
        <f>D41</f>
        <v>0</v>
      </c>
      <c r="I57" s="310" t="s">
        <v>202</v>
      </c>
      <c r="J57" s="318">
        <f>D47</f>
        <v>0</v>
      </c>
      <c r="K57" s="319" t="e">
        <f t="shared" si="3"/>
        <v>#DIV/0!</v>
      </c>
    </row>
    <row r="58" spans="1:15">
      <c r="A58" s="310" t="s">
        <v>203</v>
      </c>
      <c r="B58" s="311">
        <f>E35</f>
        <v>0</v>
      </c>
      <c r="C58" s="311">
        <f>E41</f>
        <v>0</v>
      </c>
      <c r="I58" s="310" t="s">
        <v>203</v>
      </c>
      <c r="J58" s="318">
        <f>E47</f>
        <v>0</v>
      </c>
      <c r="K58" s="319" t="e">
        <f t="shared" si="3"/>
        <v>#DIV/0!</v>
      </c>
    </row>
    <row r="59" spans="1:15">
      <c r="A59" s="310" t="s">
        <v>204</v>
      </c>
      <c r="B59" s="311">
        <f>F35</f>
        <v>0</v>
      </c>
      <c r="C59" s="311">
        <f>F41</f>
        <v>0</v>
      </c>
      <c r="I59" s="310" t="s">
        <v>204</v>
      </c>
      <c r="J59" s="318">
        <f>F47</f>
        <v>0</v>
      </c>
      <c r="K59" s="319" t="e">
        <f t="shared" si="3"/>
        <v>#DIV/0!</v>
      </c>
    </row>
    <row r="60" spans="1:15">
      <c r="A60" s="310" t="s">
        <v>205</v>
      </c>
      <c r="B60" s="311">
        <f>G35</f>
        <v>0</v>
      </c>
      <c r="C60" s="311">
        <f>G41</f>
        <v>0</v>
      </c>
      <c r="I60" s="310" t="s">
        <v>205</v>
      </c>
      <c r="J60" s="318">
        <f>G47</f>
        <v>0</v>
      </c>
      <c r="K60" s="319" t="e">
        <f t="shared" si="3"/>
        <v>#DIV/0!</v>
      </c>
    </row>
    <row r="61" spans="1:15">
      <c r="A61" s="310" t="s">
        <v>206</v>
      </c>
      <c r="B61" s="313">
        <f>H35</f>
        <v>0</v>
      </c>
      <c r="C61" s="311">
        <f>H41</f>
        <v>0</v>
      </c>
      <c r="I61" s="310" t="s">
        <v>206</v>
      </c>
      <c r="J61" s="318">
        <f>H47</f>
        <v>0</v>
      </c>
      <c r="K61" s="319" t="e">
        <f t="shared" ref="K61:K66" si="4">(J61*100)/B61</f>
        <v>#DIV/0!</v>
      </c>
    </row>
    <row r="62" spans="1:15">
      <c r="A62" s="310" t="s">
        <v>207</v>
      </c>
      <c r="B62" s="311">
        <f>I35</f>
        <v>0</v>
      </c>
      <c r="C62" s="311">
        <f>I41</f>
        <v>0</v>
      </c>
      <c r="I62" s="310" t="s">
        <v>207</v>
      </c>
      <c r="J62" s="318">
        <f>I47</f>
        <v>0</v>
      </c>
      <c r="K62" s="319" t="e">
        <f t="shared" si="4"/>
        <v>#DIV/0!</v>
      </c>
    </row>
    <row r="63" spans="1:15">
      <c r="A63" s="310" t="s">
        <v>208</v>
      </c>
      <c r="B63" s="311">
        <f>J35</f>
        <v>0</v>
      </c>
      <c r="C63" s="311">
        <f>J41</f>
        <v>0</v>
      </c>
      <c r="I63" s="310" t="s">
        <v>208</v>
      </c>
      <c r="J63" s="318">
        <f>J47</f>
        <v>0</v>
      </c>
      <c r="K63" s="319" t="e">
        <f t="shared" si="4"/>
        <v>#DIV/0!</v>
      </c>
    </row>
    <row r="64" spans="1:15">
      <c r="A64" s="310" t="s">
        <v>209</v>
      </c>
      <c r="B64" s="311">
        <f>K35</f>
        <v>0</v>
      </c>
      <c r="C64" s="311">
        <f>K41</f>
        <v>0</v>
      </c>
      <c r="I64" s="310" t="s">
        <v>209</v>
      </c>
      <c r="J64" s="399">
        <f>K47</f>
        <v>0</v>
      </c>
      <c r="K64" s="319" t="e">
        <f t="shared" si="4"/>
        <v>#DIV/0!</v>
      </c>
    </row>
    <row r="65" spans="1:11">
      <c r="A65" s="310" t="s">
        <v>210</v>
      </c>
      <c r="B65" s="311">
        <f>L35</f>
        <v>0</v>
      </c>
      <c r="C65" s="311">
        <f>L41</f>
        <v>0</v>
      </c>
      <c r="I65" s="310" t="s">
        <v>210</v>
      </c>
      <c r="J65" s="400">
        <f>L47</f>
        <v>0</v>
      </c>
      <c r="K65" s="319" t="e">
        <f t="shared" si="4"/>
        <v>#DIV/0!</v>
      </c>
    </row>
    <row r="66" spans="1:11">
      <c r="A66" s="310" t="s">
        <v>211</v>
      </c>
      <c r="B66" s="311">
        <f>M35</f>
        <v>0</v>
      </c>
      <c r="C66" s="311">
        <f>M41</f>
        <v>0</v>
      </c>
      <c r="I66" s="322" t="s">
        <v>211</v>
      </c>
      <c r="J66" s="404">
        <f>M47</f>
        <v>0</v>
      </c>
      <c r="K66" s="319" t="e">
        <f t="shared" si="4"/>
        <v>#DIV/0!</v>
      </c>
    </row>
    <row r="67" spans="1:11" ht="15.75" thickBot="1">
      <c r="A67" s="390" t="s">
        <v>212</v>
      </c>
      <c r="B67" s="311">
        <f>SUM(B55:B66)</f>
        <v>24776185</v>
      </c>
      <c r="C67" s="323"/>
      <c r="I67" s="314" t="s">
        <v>212</v>
      </c>
      <c r="J67" s="312">
        <f>SUM(J55:J66)</f>
        <v>23512838.619999997</v>
      </c>
      <c r="K67" s="321" t="e">
        <f>SUM(K55:K66)/5</f>
        <v>#DIV/0!</v>
      </c>
    </row>
    <row r="68" spans="1:11">
      <c r="A68" s="310" t="s">
        <v>213</v>
      </c>
      <c r="B68" s="311">
        <f>B67/6</f>
        <v>4129364.1666666665</v>
      </c>
      <c r="I68" s="310" t="s">
        <v>213</v>
      </c>
      <c r="J68" s="312">
        <f>J67/5</f>
        <v>4702567.7239999995</v>
      </c>
    </row>
    <row r="69" spans="1:11">
      <c r="A69" s="309" t="s">
        <v>28</v>
      </c>
    </row>
    <row r="70" spans="1:11">
      <c r="A70" s="309" t="s">
        <v>28</v>
      </c>
    </row>
    <row r="71" spans="1:11">
      <c r="A71" s="309" t="s">
        <v>28</v>
      </c>
    </row>
    <row r="72" spans="1:11">
      <c r="A72" s="309" t="s">
        <v>28</v>
      </c>
    </row>
    <row r="73" spans="1:11">
      <c r="A73"/>
      <c r="B73" s="314" t="s">
        <v>214</v>
      </c>
      <c r="C73" s="314" t="s">
        <v>215</v>
      </c>
    </row>
    <row r="74" spans="1:11">
      <c r="A74" s="310" t="s">
        <v>200</v>
      </c>
      <c r="B74" s="316">
        <f>B50</f>
        <v>-8002403.6199999973</v>
      </c>
      <c r="C74" s="317">
        <f>(B74*100)/B55</f>
        <v>-51.593676257306761</v>
      </c>
    </row>
    <row r="75" spans="1:11">
      <c r="A75" s="310" t="s">
        <v>201</v>
      </c>
      <c r="B75" s="316">
        <f>C50</f>
        <v>9265750</v>
      </c>
      <c r="C75" s="317">
        <f t="shared" ref="C75:C86" si="5">(B75*100)/B56</f>
        <v>100</v>
      </c>
    </row>
    <row r="76" spans="1:11">
      <c r="A76" s="310" t="s">
        <v>202</v>
      </c>
      <c r="B76" s="316">
        <f>D50</f>
        <v>0</v>
      </c>
      <c r="C76" s="317" t="e">
        <f t="shared" si="5"/>
        <v>#DIV/0!</v>
      </c>
    </row>
    <row r="77" spans="1:11">
      <c r="A77" s="310" t="s">
        <v>203</v>
      </c>
      <c r="B77" s="316">
        <f>E50</f>
        <v>0</v>
      </c>
      <c r="C77" s="317" t="e">
        <f t="shared" si="5"/>
        <v>#DIV/0!</v>
      </c>
    </row>
    <row r="78" spans="1:11">
      <c r="A78" s="310" t="s">
        <v>204</v>
      </c>
      <c r="B78" s="316">
        <f>F50</f>
        <v>0</v>
      </c>
      <c r="C78" s="317" t="e">
        <f t="shared" si="5"/>
        <v>#DIV/0!</v>
      </c>
    </row>
    <row r="79" spans="1:11">
      <c r="A79" s="310" t="s">
        <v>205</v>
      </c>
      <c r="B79" s="316">
        <f>G50</f>
        <v>0</v>
      </c>
      <c r="C79" s="317" t="e">
        <f t="shared" si="5"/>
        <v>#DIV/0!</v>
      </c>
    </row>
    <row r="80" spans="1:11">
      <c r="A80" s="310" t="s">
        <v>206</v>
      </c>
      <c r="B80" s="316">
        <f>H50</f>
        <v>0</v>
      </c>
      <c r="C80" s="317" t="e">
        <f t="shared" si="5"/>
        <v>#DIV/0!</v>
      </c>
    </row>
    <row r="81" spans="1:3">
      <c r="A81" s="310" t="s">
        <v>207</v>
      </c>
      <c r="B81" s="316">
        <f>I50</f>
        <v>0</v>
      </c>
      <c r="C81" s="317" t="e">
        <f t="shared" si="5"/>
        <v>#DIV/0!</v>
      </c>
    </row>
    <row r="82" spans="1:3">
      <c r="A82" s="310" t="s">
        <v>208</v>
      </c>
      <c r="B82" s="316">
        <f>J50</f>
        <v>0</v>
      </c>
      <c r="C82" s="317" t="e">
        <f t="shared" si="5"/>
        <v>#DIV/0!</v>
      </c>
    </row>
    <row r="83" spans="1:3">
      <c r="A83" s="310" t="s">
        <v>209</v>
      </c>
      <c r="B83" s="316">
        <f>K50</f>
        <v>0</v>
      </c>
      <c r="C83" s="317" t="e">
        <f t="shared" si="5"/>
        <v>#DIV/0!</v>
      </c>
    </row>
    <row r="84" spans="1:3">
      <c r="A84" s="310" t="s">
        <v>210</v>
      </c>
      <c r="B84" s="316">
        <f>L50</f>
        <v>0</v>
      </c>
      <c r="C84" s="317" t="e">
        <f t="shared" si="5"/>
        <v>#DIV/0!</v>
      </c>
    </row>
    <row r="85" spans="1:3">
      <c r="A85" s="322" t="s">
        <v>211</v>
      </c>
      <c r="B85" s="405">
        <f>M50</f>
        <v>0</v>
      </c>
      <c r="C85" s="317" t="e">
        <f t="shared" si="5"/>
        <v>#DIV/0!</v>
      </c>
    </row>
    <row r="86" spans="1:3">
      <c r="A86" s="314" t="s">
        <v>212</v>
      </c>
      <c r="B86" s="311">
        <f>SUM(B74:B85)</f>
        <v>1263346.3800000027</v>
      </c>
      <c r="C86" s="324">
        <f t="shared" si="5"/>
        <v>5.0990351420123909</v>
      </c>
    </row>
    <row r="87" spans="1:3">
      <c r="A87" s="310" t="s">
        <v>213</v>
      </c>
      <c r="B87" s="311">
        <f>B86/5</f>
        <v>252669.27600000054</v>
      </c>
    </row>
  </sheetData>
  <mergeCells count="29">
    <mergeCell ref="A48:M48"/>
    <mergeCell ref="A45:M45"/>
    <mergeCell ref="A33:M33"/>
    <mergeCell ref="A36:M36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  <mergeCell ref="G10:G11"/>
    <mergeCell ref="H10:H11"/>
    <mergeCell ref="G12:G13"/>
    <mergeCell ref="H12:H13"/>
    <mergeCell ref="G14:G15"/>
    <mergeCell ref="H14:H15"/>
    <mergeCell ref="G8:G9"/>
    <mergeCell ref="H8:H9"/>
    <mergeCell ref="A2:H2"/>
    <mergeCell ref="G4:G5"/>
    <mergeCell ref="H4:H5"/>
    <mergeCell ref="G6:G7"/>
    <mergeCell ref="H6:H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07"/>
  <sheetViews>
    <sheetView zoomScale="70" zoomScaleNormal="70" workbookViewId="0">
      <pane ySplit="3" topLeftCell="A40" activePane="bottomLeft" state="frozen"/>
      <selection activeCell="M1" sqref="M1"/>
      <selection pane="bottomLeft" activeCell="AM206" sqref="AM206"/>
    </sheetView>
  </sheetViews>
  <sheetFormatPr baseColWidth="10" defaultRowHeight="15"/>
  <cols>
    <col min="1" max="1" width="13.85546875" style="35" customWidth="1"/>
    <col min="2" max="2" width="11.42578125" style="36"/>
    <col min="3" max="3" width="27.5703125" style="43" customWidth="1"/>
    <col min="4" max="4" width="13.42578125" style="40" customWidth="1"/>
    <col min="5" max="5" width="12.85546875" style="40" customWidth="1"/>
    <col min="6" max="6" width="12.42578125" style="40" customWidth="1"/>
    <col min="7" max="7" width="13.5703125" style="40" customWidth="1"/>
    <col min="8" max="9" width="15.28515625" style="40" bestFit="1" customWidth="1"/>
    <col min="10" max="10" width="15" style="40" bestFit="1" customWidth="1"/>
    <col min="11" max="11" width="18" style="40" customWidth="1"/>
    <col min="12" max="12" width="15.140625" style="40" customWidth="1"/>
    <col min="13" max="13" width="15.85546875" style="40" customWidth="1"/>
    <col min="14" max="14" width="13.85546875" style="40" customWidth="1"/>
    <col min="15" max="15" width="15.42578125" style="40" customWidth="1"/>
    <col min="16" max="16" width="16" style="40" bestFit="1" customWidth="1"/>
    <col min="17" max="17" width="11.42578125" style="35"/>
    <col min="18" max="18" width="21.42578125" style="35" bestFit="1" customWidth="1"/>
    <col min="19" max="19" width="11.42578125" style="35"/>
    <col min="20" max="20" width="34.140625" style="35" customWidth="1"/>
    <col min="21" max="21" width="14.5703125" style="35" bestFit="1" customWidth="1"/>
    <col min="22" max="22" width="13" style="35" customWidth="1"/>
    <col min="23" max="23" width="11.42578125" style="35"/>
    <col min="24" max="24" width="12" style="35" customWidth="1"/>
    <col min="25" max="25" width="11.42578125" style="35"/>
    <col min="26" max="26" width="13.140625" style="35" customWidth="1"/>
    <col min="27" max="28" width="12.28515625" style="35" customWidth="1"/>
    <col min="29" max="29" width="13.42578125" style="35" customWidth="1"/>
    <col min="30" max="30" width="13.140625" style="35" customWidth="1"/>
    <col min="31" max="31" width="13.28515625" style="35" customWidth="1"/>
    <col min="32" max="32" width="15" style="35" customWidth="1"/>
    <col min="33" max="34" width="11.42578125" style="35"/>
    <col min="35" max="35" width="16.140625" style="35" bestFit="1" customWidth="1"/>
    <col min="36" max="36" width="11.42578125" style="35"/>
    <col min="37" max="37" width="34.42578125" style="35" customWidth="1"/>
    <col min="38" max="38" width="19" style="35" customWidth="1"/>
    <col min="39" max="39" width="19.28515625" style="35" bestFit="1" customWidth="1"/>
    <col min="40" max="40" width="16.7109375" style="35" bestFit="1" customWidth="1"/>
    <col min="41" max="41" width="17.7109375" style="35" customWidth="1"/>
    <col min="42" max="43" width="15.28515625" style="35" bestFit="1" customWidth="1"/>
    <col min="44" max="44" width="15" style="35" bestFit="1" customWidth="1"/>
    <col min="45" max="45" width="14" style="35" customWidth="1"/>
    <col min="46" max="46" width="16" style="35" customWidth="1"/>
    <col min="47" max="47" width="15.5703125" style="35" bestFit="1" customWidth="1"/>
    <col min="48" max="48" width="18" style="35" customWidth="1"/>
    <col min="49" max="49" width="19" style="35" customWidth="1"/>
    <col min="50" max="50" width="15.85546875" style="35" customWidth="1"/>
    <col min="51" max="16384" width="11.42578125" style="35"/>
  </cols>
  <sheetData>
    <row r="1" spans="1:50">
      <c r="A1" s="35" t="b">
        <f>'DEUDAS, RECAUDADO Y PROYECTADO'!AL105='DEUDAS, RECAUDADO Y PROYECTADO'!AL105</f>
        <v>1</v>
      </c>
    </row>
    <row r="2" spans="1:50" ht="23.25">
      <c r="A2" s="445" t="s">
        <v>56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R2" s="446" t="s">
        <v>57</v>
      </c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I2" s="447" t="s">
        <v>58</v>
      </c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>
      <c r="A3" s="38" t="s">
        <v>55</v>
      </c>
      <c r="B3" s="36" t="s">
        <v>54</v>
      </c>
      <c r="C3" s="39" t="s">
        <v>53</v>
      </c>
      <c r="D3" s="39" t="s">
        <v>11</v>
      </c>
      <c r="E3" s="39" t="s">
        <v>10</v>
      </c>
      <c r="F3" s="39" t="s">
        <v>9</v>
      </c>
      <c r="G3" s="39" t="s">
        <v>8</v>
      </c>
      <c r="H3" s="39" t="s">
        <v>7</v>
      </c>
      <c r="I3" s="39" t="s">
        <v>6</v>
      </c>
      <c r="J3" s="39" t="s">
        <v>5</v>
      </c>
      <c r="K3" s="39" t="s">
        <v>4</v>
      </c>
      <c r="L3" s="39" t="s">
        <v>3</v>
      </c>
      <c r="M3" s="39" t="s">
        <v>2</v>
      </c>
      <c r="N3" s="54" t="s">
        <v>1</v>
      </c>
      <c r="O3" s="39" t="s">
        <v>0</v>
      </c>
      <c r="P3" s="41" t="s">
        <v>52</v>
      </c>
      <c r="R3" s="46" t="s">
        <v>55</v>
      </c>
      <c r="S3" s="47" t="s">
        <v>54</v>
      </c>
      <c r="T3" s="46" t="s">
        <v>53</v>
      </c>
      <c r="U3" s="46" t="s">
        <v>11</v>
      </c>
      <c r="V3" s="46" t="s">
        <v>10</v>
      </c>
      <c r="W3" s="46" t="s">
        <v>9</v>
      </c>
      <c r="X3" s="46" t="s">
        <v>8</v>
      </c>
      <c r="Y3" s="46" t="s">
        <v>7</v>
      </c>
      <c r="Z3" s="46" t="s">
        <v>6</v>
      </c>
      <c r="AA3" s="46" t="s">
        <v>5</v>
      </c>
      <c r="AB3" s="46" t="s">
        <v>4</v>
      </c>
      <c r="AC3" s="46" t="s">
        <v>3</v>
      </c>
      <c r="AD3" s="46" t="s">
        <v>2</v>
      </c>
      <c r="AE3" s="46" t="s">
        <v>1</v>
      </c>
      <c r="AF3" s="46" t="s">
        <v>0</v>
      </c>
      <c r="AG3" s="51" t="s">
        <v>52</v>
      </c>
      <c r="AI3" s="46" t="s">
        <v>55</v>
      </c>
      <c r="AJ3" s="47" t="s">
        <v>54</v>
      </c>
      <c r="AK3" s="46" t="s">
        <v>53</v>
      </c>
      <c r="AL3" s="46" t="s">
        <v>11</v>
      </c>
      <c r="AM3" s="46" t="s">
        <v>10</v>
      </c>
      <c r="AN3" s="46" t="s">
        <v>9</v>
      </c>
      <c r="AO3" s="46" t="s">
        <v>8</v>
      </c>
      <c r="AP3" s="46" t="s">
        <v>7</v>
      </c>
      <c r="AQ3" s="46" t="s">
        <v>6</v>
      </c>
      <c r="AR3" s="46" t="s">
        <v>5</v>
      </c>
      <c r="AS3" s="46" t="s">
        <v>4</v>
      </c>
      <c r="AT3" s="46" t="s">
        <v>3</v>
      </c>
      <c r="AU3" s="46" t="s">
        <v>2</v>
      </c>
      <c r="AV3" s="46" t="s">
        <v>1</v>
      </c>
      <c r="AW3" s="46" t="s">
        <v>0</v>
      </c>
      <c r="AX3" s="44" t="s">
        <v>52</v>
      </c>
    </row>
    <row r="4" spans="1:50">
      <c r="A4" s="37" t="s">
        <v>51</v>
      </c>
      <c r="B4" s="36">
        <v>1</v>
      </c>
      <c r="C4" s="177" t="s">
        <v>132</v>
      </c>
      <c r="D4" s="76">
        <f>[1]P001!$K$5</f>
        <v>0</v>
      </c>
      <c r="E4" s="76">
        <f>[1]P001!$K$6</f>
        <v>0</v>
      </c>
      <c r="P4" s="42">
        <f>SUM(Tabla6[[#This Row],[ENERO]:[DICIEMBRE]])</f>
        <v>0</v>
      </c>
      <c r="R4" s="48" t="s">
        <v>51</v>
      </c>
      <c r="S4" s="47">
        <v>1</v>
      </c>
      <c r="T4" s="177" t="s">
        <v>132</v>
      </c>
      <c r="U4" s="50">
        <f>[1]P001!$L$5</f>
        <v>1183800</v>
      </c>
      <c r="V4" s="50">
        <f>[1]P001!$L$6</f>
        <v>1183800</v>
      </c>
      <c r="W4" s="50">
        <v>0</v>
      </c>
      <c r="X4" s="50">
        <v>0</v>
      </c>
      <c r="Y4" s="50">
        <v>0</v>
      </c>
      <c r="Z4" s="50">
        <v>0</v>
      </c>
      <c r="AA4" s="53">
        <v>0</v>
      </c>
      <c r="AB4" s="53">
        <v>0</v>
      </c>
      <c r="AC4" s="53">
        <v>0</v>
      </c>
      <c r="AD4" s="53">
        <v>0</v>
      </c>
      <c r="AE4" s="53">
        <v>0</v>
      </c>
      <c r="AF4" s="53">
        <v>0</v>
      </c>
      <c r="AG4" s="52">
        <f>SUM(Tabla63[[#This Row],[ENERO]:[DICIEMBRE]])</f>
        <v>2367600</v>
      </c>
      <c r="AI4" s="48" t="s">
        <v>51</v>
      </c>
      <c r="AJ4" s="47">
        <v>1</v>
      </c>
      <c r="AK4" s="177" t="s">
        <v>132</v>
      </c>
      <c r="AL4" s="170">
        <f>[2]P001!$B$5</f>
        <v>1183800</v>
      </c>
      <c r="AM4" s="170">
        <f>[1]P001!$B$6</f>
        <v>1183800</v>
      </c>
      <c r="AN4" s="170">
        <v>0</v>
      </c>
      <c r="AO4" s="170">
        <v>0</v>
      </c>
      <c r="AP4" s="17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0</v>
      </c>
      <c r="AW4" s="50">
        <v>0</v>
      </c>
      <c r="AX4" s="45">
        <f>SUM(Tabla634[[#This Row],[ENERO]:[DICIEMBRE]])</f>
        <v>2367600</v>
      </c>
    </row>
    <row r="5" spans="1:50" ht="15" hidden="1" customHeight="1">
      <c r="A5" s="37" t="s">
        <v>51</v>
      </c>
      <c r="B5" s="36">
        <v>2</v>
      </c>
      <c r="D5" s="76">
        <f>[1]P001!$K$5</f>
        <v>0</v>
      </c>
      <c r="E5" s="76">
        <f>[1]P001!$K$5</f>
        <v>0</v>
      </c>
      <c r="P5" s="42">
        <f>SUM(Tabla6[[#This Row],[ENERO]:[DICIEMBRE]])</f>
        <v>0</v>
      </c>
      <c r="R5" s="48" t="s">
        <v>51</v>
      </c>
      <c r="S5" s="47">
        <v>2</v>
      </c>
      <c r="T5" s="177"/>
      <c r="U5" s="50">
        <f>[3]P002!$L$5</f>
        <v>0</v>
      </c>
      <c r="V5" s="50">
        <f>[3]P002!$L$5</f>
        <v>0</v>
      </c>
      <c r="W5" s="50"/>
      <c r="X5" s="50">
        <f>[3]P002!$L$8</f>
        <v>0</v>
      </c>
      <c r="Y5" s="50">
        <f>[3]P002!$L$9</f>
        <v>0</v>
      </c>
      <c r="Z5" s="50">
        <v>0</v>
      </c>
      <c r="AA5" s="53">
        <v>0</v>
      </c>
      <c r="AB5" s="53">
        <v>0</v>
      </c>
      <c r="AC5" s="53">
        <v>0</v>
      </c>
      <c r="AD5" s="53">
        <v>0</v>
      </c>
      <c r="AE5" s="53">
        <v>0</v>
      </c>
      <c r="AF5" s="53">
        <v>0</v>
      </c>
      <c r="AG5" s="52">
        <f>SUM(Tabla63[[#This Row],[ENERO]:[DICIEMBRE]])</f>
        <v>0</v>
      </c>
      <c r="AI5" s="48" t="s">
        <v>51</v>
      </c>
      <c r="AJ5" s="47">
        <v>2</v>
      </c>
      <c r="AK5" s="177"/>
      <c r="AL5" s="170">
        <v>0</v>
      </c>
      <c r="AM5" s="170">
        <f>[1]P001!$B$6</f>
        <v>1183800</v>
      </c>
      <c r="AN5" s="170">
        <v>0</v>
      </c>
      <c r="AO5" s="170">
        <v>0</v>
      </c>
      <c r="AP5" s="17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45">
        <f>SUM(Tabla634[[#This Row],[ENERO]:[DICIEMBRE]])</f>
        <v>1183800</v>
      </c>
    </row>
    <row r="6" spans="1:50" ht="15" hidden="1" customHeight="1">
      <c r="A6" s="37" t="s">
        <v>51</v>
      </c>
      <c r="B6" s="36">
        <v>3</v>
      </c>
      <c r="D6" s="76">
        <f>[1]P001!$K$5</f>
        <v>0</v>
      </c>
      <c r="E6" s="76">
        <f>[1]P001!$K$5</f>
        <v>0</v>
      </c>
      <c r="P6" s="42">
        <f>SUM(Tabla6[[#This Row],[ENERO]:[DICIEMBRE]])</f>
        <v>0</v>
      </c>
      <c r="R6" s="48" t="s">
        <v>51</v>
      </c>
      <c r="S6" s="47">
        <v>3</v>
      </c>
      <c r="T6" s="177"/>
      <c r="U6" s="50">
        <f>[3]P003!$L$5</f>
        <v>0</v>
      </c>
      <c r="V6" s="50">
        <f>[3]P003!$L$5</f>
        <v>0</v>
      </c>
      <c r="W6" s="50"/>
      <c r="X6" s="50">
        <f>[3]P003!$L$8</f>
        <v>0</v>
      </c>
      <c r="Y6" s="50">
        <f>[3]P003!$L$9</f>
        <v>0</v>
      </c>
      <c r="Z6" s="50">
        <v>0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52">
        <f>SUM(Tabla63[[#This Row],[ENERO]:[DICIEMBRE]])</f>
        <v>0</v>
      </c>
      <c r="AI6" s="48" t="s">
        <v>51</v>
      </c>
      <c r="AJ6" s="47">
        <v>3</v>
      </c>
      <c r="AK6" s="177"/>
      <c r="AL6" s="170">
        <v>0</v>
      </c>
      <c r="AM6" s="170">
        <f>[1]P001!$B$6</f>
        <v>1183800</v>
      </c>
      <c r="AN6" s="170">
        <v>0</v>
      </c>
      <c r="AO6" s="170">
        <v>0</v>
      </c>
      <c r="AP6" s="17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0</v>
      </c>
      <c r="AW6" s="50">
        <v>0</v>
      </c>
      <c r="AX6" s="45">
        <f>SUM(Tabla634[[#This Row],[ENERO]:[DICIEMBRE]])</f>
        <v>1183800</v>
      </c>
    </row>
    <row r="7" spans="1:50" hidden="1">
      <c r="A7" s="37" t="s">
        <v>51</v>
      </c>
      <c r="B7" s="36">
        <v>4</v>
      </c>
      <c r="C7" s="177" t="s">
        <v>133</v>
      </c>
      <c r="D7" s="76">
        <f>[1]P004!$K$5</f>
        <v>0</v>
      </c>
      <c r="E7" s="76">
        <f>[1]P004!$K$5</f>
        <v>0</v>
      </c>
      <c r="P7" s="42">
        <f>SUM(Tabla6[[#This Row],[ENERO]:[DICIEMBRE]])</f>
        <v>0</v>
      </c>
      <c r="R7" s="48" t="s">
        <v>51</v>
      </c>
      <c r="S7" s="47">
        <v>4</v>
      </c>
      <c r="T7" s="177" t="s">
        <v>133</v>
      </c>
      <c r="U7" s="50">
        <f>[1]P005!$L$5</f>
        <v>177600</v>
      </c>
      <c r="V7" s="50">
        <f>[1]P005!$L$5</f>
        <v>177600</v>
      </c>
      <c r="W7" s="50"/>
      <c r="X7" s="50">
        <v>0</v>
      </c>
      <c r="Y7" s="50">
        <v>0</v>
      </c>
      <c r="Z7" s="50">
        <v>0</v>
      </c>
      <c r="AA7" s="53">
        <v>0</v>
      </c>
      <c r="AB7" s="53">
        <v>0</v>
      </c>
      <c r="AC7" s="53">
        <v>0</v>
      </c>
      <c r="AD7" s="53">
        <v>0</v>
      </c>
      <c r="AE7" s="53">
        <v>0</v>
      </c>
      <c r="AF7" s="53">
        <v>0</v>
      </c>
      <c r="AG7" s="52">
        <f>SUM(Tabla63[[#This Row],[ENERO]:[DICIEMBRE]])</f>
        <v>355200</v>
      </c>
      <c r="AI7" s="48" t="s">
        <v>51</v>
      </c>
      <c r="AJ7" s="47">
        <v>4</v>
      </c>
      <c r="AK7" s="177" t="s">
        <v>133</v>
      </c>
      <c r="AL7" s="170">
        <v>0</v>
      </c>
      <c r="AM7" s="170">
        <f>[1]P001!$B$6</f>
        <v>1183800</v>
      </c>
      <c r="AN7" s="170">
        <v>0</v>
      </c>
      <c r="AO7" s="170">
        <v>0</v>
      </c>
      <c r="AP7" s="17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0</v>
      </c>
      <c r="AX7" s="45">
        <f>SUM(Tabla634[[#This Row],[ENERO]:[DICIEMBRE]])</f>
        <v>1183800</v>
      </c>
    </row>
    <row r="8" spans="1:50">
      <c r="A8" s="37" t="s">
        <v>51</v>
      </c>
      <c r="B8" s="36">
        <v>5</v>
      </c>
      <c r="C8" s="177" t="s">
        <v>134</v>
      </c>
      <c r="D8" s="76">
        <f>[1]P005!$K$5</f>
        <v>0</v>
      </c>
      <c r="E8" s="76">
        <f>[1]P005!$K$6</f>
        <v>0</v>
      </c>
      <c r="P8" s="42">
        <f>SUM(Tabla6[[#This Row],[ENERO]:[DICIEMBRE]])</f>
        <v>0</v>
      </c>
      <c r="R8" s="48" t="s">
        <v>51</v>
      </c>
      <c r="S8" s="47">
        <v>5</v>
      </c>
      <c r="T8" s="177" t="s">
        <v>134</v>
      </c>
      <c r="U8" s="50">
        <f>[1]P005!$L$5</f>
        <v>177600</v>
      </c>
      <c r="V8" s="50">
        <f>[1]P005!$L$6</f>
        <v>177600</v>
      </c>
      <c r="W8" s="50"/>
      <c r="X8" s="50">
        <v>0</v>
      </c>
      <c r="Y8" s="50">
        <v>0</v>
      </c>
      <c r="Z8" s="50">
        <v>0</v>
      </c>
      <c r="AA8" s="53">
        <v>0</v>
      </c>
      <c r="AB8" s="53">
        <v>0</v>
      </c>
      <c r="AC8" s="53">
        <v>0</v>
      </c>
      <c r="AD8" s="53">
        <v>0</v>
      </c>
      <c r="AE8" s="53">
        <v>0</v>
      </c>
      <c r="AF8" s="53">
        <v>0</v>
      </c>
      <c r="AG8" s="52">
        <f>SUM(Tabla63[[#This Row],[ENERO]:[DICIEMBRE]])</f>
        <v>355200</v>
      </c>
      <c r="AI8" s="48" t="s">
        <v>51</v>
      </c>
      <c r="AJ8" s="47">
        <v>5</v>
      </c>
      <c r="AK8" s="177" t="s">
        <v>134</v>
      </c>
      <c r="AL8" s="170">
        <f>[2]P005!$B$5</f>
        <v>177600</v>
      </c>
      <c r="AM8" s="170">
        <f>[1]P005!$B$6</f>
        <v>177600</v>
      </c>
      <c r="AN8" s="170">
        <v>0</v>
      </c>
      <c r="AO8" s="170">
        <v>0</v>
      </c>
      <c r="AP8" s="17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>
        <v>0</v>
      </c>
      <c r="AW8" s="50">
        <v>0</v>
      </c>
      <c r="AX8" s="45">
        <f>SUM(Tabla634[[#This Row],[ENERO]:[DICIEMBRE]])</f>
        <v>355200</v>
      </c>
    </row>
    <row r="9" spans="1:50">
      <c r="A9" s="37" t="s">
        <v>51</v>
      </c>
      <c r="B9" s="36">
        <v>6</v>
      </c>
      <c r="C9" s="177" t="s">
        <v>165</v>
      </c>
      <c r="D9" s="76">
        <f>[1]P006!$K$5</f>
        <v>0</v>
      </c>
      <c r="E9" s="76">
        <f>[1]P006!$K$6</f>
        <v>177600</v>
      </c>
      <c r="P9" s="42">
        <f>SUM(Tabla6[[#This Row],[ENERO]:[DICIEMBRE]])</f>
        <v>177600</v>
      </c>
      <c r="R9" s="48" t="s">
        <v>51</v>
      </c>
      <c r="S9" s="47">
        <v>6</v>
      </c>
      <c r="T9" s="177" t="s">
        <v>165</v>
      </c>
      <c r="U9" s="50">
        <f>[1]P006!$L$5</f>
        <v>177600</v>
      </c>
      <c r="V9" s="50">
        <f>[1]P006!$L$6</f>
        <v>0</v>
      </c>
      <c r="W9" s="50"/>
      <c r="X9" s="50">
        <v>0</v>
      </c>
      <c r="Y9" s="50">
        <v>0</v>
      </c>
      <c r="Z9" s="50">
        <v>0</v>
      </c>
      <c r="AA9" s="53">
        <v>0</v>
      </c>
      <c r="AB9" s="53">
        <v>0</v>
      </c>
      <c r="AC9" s="53">
        <v>0</v>
      </c>
      <c r="AD9" s="53">
        <v>0</v>
      </c>
      <c r="AE9" s="53">
        <v>0</v>
      </c>
      <c r="AF9" s="53">
        <v>0</v>
      </c>
      <c r="AG9" s="52">
        <f>SUM(Tabla63[[#This Row],[ENERO]:[DICIEMBRE]])</f>
        <v>177600</v>
      </c>
      <c r="AI9" s="48" t="s">
        <v>51</v>
      </c>
      <c r="AJ9" s="47">
        <v>6</v>
      </c>
      <c r="AK9" s="177" t="s">
        <v>165</v>
      </c>
      <c r="AL9" s="170">
        <f>[2]P006!$B$5</f>
        <v>177600</v>
      </c>
      <c r="AM9" s="170">
        <f>[1]P006!$B$6</f>
        <v>177600</v>
      </c>
      <c r="AN9" s="170">
        <v>0</v>
      </c>
      <c r="AO9" s="170">
        <v>0</v>
      </c>
      <c r="AP9" s="17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  <c r="AV9" s="50">
        <v>0</v>
      </c>
      <c r="AW9" s="50">
        <v>0</v>
      </c>
      <c r="AX9" s="45">
        <f>SUM(Tabla634[[#This Row],[ENERO]:[DICIEMBRE]])</f>
        <v>355200</v>
      </c>
    </row>
    <row r="10" spans="1:50" ht="15" hidden="1" customHeight="1">
      <c r="A10" s="37" t="s">
        <v>51</v>
      </c>
      <c r="B10" s="36">
        <v>7</v>
      </c>
      <c r="D10" s="76">
        <f>[1]P001!$K$5</f>
        <v>0</v>
      </c>
      <c r="E10" s="76">
        <f>[1]P001!$K$5</f>
        <v>0</v>
      </c>
      <c r="P10" s="42">
        <f>SUM(Tabla6[[#This Row],[ENERO]:[DICIEMBRE]])</f>
        <v>0</v>
      </c>
      <c r="R10" s="48" t="s">
        <v>51</v>
      </c>
      <c r="S10" s="47">
        <v>7</v>
      </c>
      <c r="T10" s="177"/>
      <c r="U10" s="50">
        <f>[3]P007!$L$5</f>
        <v>0</v>
      </c>
      <c r="V10" s="50">
        <f>[3]P007!$L$5</f>
        <v>0</v>
      </c>
      <c r="W10" s="50"/>
      <c r="X10" s="50">
        <f>[3]P007!$L$8</f>
        <v>0</v>
      </c>
      <c r="Y10" s="50">
        <f>[3]P007!$L$9</f>
        <v>0</v>
      </c>
      <c r="Z10" s="50">
        <v>0</v>
      </c>
      <c r="AA10" s="53">
        <v>0</v>
      </c>
      <c r="AB10" s="53">
        <v>0</v>
      </c>
      <c r="AC10" s="53">
        <v>0</v>
      </c>
      <c r="AD10" s="53">
        <v>0</v>
      </c>
      <c r="AE10" s="53">
        <v>0</v>
      </c>
      <c r="AF10" s="53">
        <v>0</v>
      </c>
      <c r="AG10" s="52">
        <f>SUM(Tabla63[[#This Row],[ENERO]:[DICIEMBRE]])</f>
        <v>0</v>
      </c>
      <c r="AI10" s="48" t="s">
        <v>51</v>
      </c>
      <c r="AJ10" s="47">
        <v>7</v>
      </c>
      <c r="AK10" s="177"/>
      <c r="AL10" s="170">
        <v>0</v>
      </c>
      <c r="AM10" s="170">
        <f>[1]P005!$B$6</f>
        <v>177600</v>
      </c>
      <c r="AN10" s="170">
        <v>0</v>
      </c>
      <c r="AO10" s="170">
        <v>0</v>
      </c>
      <c r="AP10" s="17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  <c r="AV10" s="50">
        <v>0</v>
      </c>
      <c r="AW10" s="50">
        <v>0</v>
      </c>
      <c r="AX10" s="45">
        <f>SUM(Tabla634[[#This Row],[ENERO]:[DICIEMBRE]])</f>
        <v>177600</v>
      </c>
    </row>
    <row r="11" spans="1:50">
      <c r="A11" s="37" t="s">
        <v>51</v>
      </c>
      <c r="B11" s="36">
        <v>8</v>
      </c>
      <c r="C11" s="177" t="s">
        <v>135</v>
      </c>
      <c r="D11" s="76">
        <f>[1]P008!$K$5</f>
        <v>0</v>
      </c>
      <c r="E11" s="76">
        <f>[1]P008!$K$6</f>
        <v>0</v>
      </c>
      <c r="P11" s="42">
        <f>SUM(Tabla6[[#This Row],[ENERO]:[DICIEMBRE]])</f>
        <v>0</v>
      </c>
      <c r="R11" s="48" t="s">
        <v>51</v>
      </c>
      <c r="S11" s="47">
        <v>8</v>
      </c>
      <c r="T11" s="177" t="s">
        <v>135</v>
      </c>
      <c r="U11" s="50">
        <f>[1]P008!$L$5</f>
        <v>355300</v>
      </c>
      <c r="V11" s="50">
        <f>[1]P008!$L$6</f>
        <v>355300</v>
      </c>
      <c r="W11" s="50"/>
      <c r="X11" s="50">
        <v>0</v>
      </c>
      <c r="Y11" s="50">
        <v>0</v>
      </c>
      <c r="Z11" s="50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2">
        <f>SUM(Tabla63[[#This Row],[ENERO]:[DICIEMBRE]])</f>
        <v>710600</v>
      </c>
      <c r="AI11" s="48" t="s">
        <v>51</v>
      </c>
      <c r="AJ11" s="47">
        <v>8</v>
      </c>
      <c r="AK11" s="177" t="s">
        <v>135</v>
      </c>
      <c r="AL11" s="170">
        <f>[2]P008!$B$5</f>
        <v>355300</v>
      </c>
      <c r="AM11" s="170">
        <f>[1]P008!$B$6</f>
        <v>355300</v>
      </c>
      <c r="AN11" s="170">
        <v>0</v>
      </c>
      <c r="AO11" s="170">
        <v>0</v>
      </c>
      <c r="AP11" s="17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  <c r="AV11" s="50">
        <v>0</v>
      </c>
      <c r="AW11" s="50">
        <v>0</v>
      </c>
      <c r="AX11" s="45">
        <f>SUM(Tabla634[[#This Row],[ENERO]:[DICIEMBRE]])</f>
        <v>710600</v>
      </c>
    </row>
    <row r="12" spans="1:50" ht="15" hidden="1" customHeight="1">
      <c r="A12" s="37" t="s">
        <v>51</v>
      </c>
      <c r="B12" s="36">
        <v>9</v>
      </c>
      <c r="D12" s="76">
        <f>[1]P001!$K$5</f>
        <v>0</v>
      </c>
      <c r="E12" s="76">
        <f>[1]P001!$K$5</f>
        <v>0</v>
      </c>
      <c r="P12" s="42">
        <f>SUM(Tabla6[[#This Row],[ENERO]:[DICIEMBRE]])</f>
        <v>0</v>
      </c>
      <c r="R12" s="48" t="s">
        <v>51</v>
      </c>
      <c r="S12" s="47">
        <v>9</v>
      </c>
      <c r="T12" s="177"/>
      <c r="U12" s="50">
        <f>[3]P009!$L$5</f>
        <v>0</v>
      </c>
      <c r="V12" s="50">
        <f>[3]P009!$L$5</f>
        <v>0</v>
      </c>
      <c r="W12" s="50"/>
      <c r="X12" s="50">
        <f>[3]P009!$L$8</f>
        <v>0</v>
      </c>
      <c r="Y12" s="50">
        <f>[3]P009!$L$9</f>
        <v>0</v>
      </c>
      <c r="Z12" s="50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2">
        <f>SUM(Tabla63[[#This Row],[ENERO]:[DICIEMBRE]])</f>
        <v>0</v>
      </c>
      <c r="AI12" s="48" t="s">
        <v>51</v>
      </c>
      <c r="AJ12" s="47">
        <v>9</v>
      </c>
      <c r="AK12" s="389" t="s">
        <v>218</v>
      </c>
      <c r="AL12" s="170">
        <v>0</v>
      </c>
      <c r="AM12" s="170">
        <f>[1]P005!$B$6</f>
        <v>177600</v>
      </c>
      <c r="AN12" s="170">
        <v>0</v>
      </c>
      <c r="AO12" s="170">
        <v>0</v>
      </c>
      <c r="AP12" s="17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  <c r="AV12" s="50">
        <v>0</v>
      </c>
      <c r="AW12" s="50">
        <v>0</v>
      </c>
      <c r="AX12" s="45">
        <f>SUM(Tabla634[[#This Row],[ENERO]:[DICIEMBRE]])</f>
        <v>177600</v>
      </c>
    </row>
    <row r="13" spans="1:50">
      <c r="A13" s="37" t="s">
        <v>51</v>
      </c>
      <c r="B13" s="36">
        <v>10</v>
      </c>
      <c r="C13" s="177" t="s">
        <v>166</v>
      </c>
      <c r="D13" s="76">
        <f>[1]P010!$K$5</f>
        <v>532800</v>
      </c>
      <c r="E13" s="76">
        <f>[1]P010!$K$5</f>
        <v>532800</v>
      </c>
      <c r="P13" s="42">
        <f>SUM(Tabla6[[#This Row],[ENERO]:[DICIEMBRE]])</f>
        <v>1065600</v>
      </c>
      <c r="R13" s="48" t="s">
        <v>51</v>
      </c>
      <c r="S13" s="47">
        <v>10</v>
      </c>
      <c r="T13" s="177" t="s">
        <v>166</v>
      </c>
      <c r="U13" s="50">
        <f>[1]P010!$L$5</f>
        <v>0</v>
      </c>
      <c r="V13" s="50">
        <f>[1]P010!$L$6</f>
        <v>0</v>
      </c>
      <c r="W13" s="50"/>
      <c r="X13" s="50">
        <v>0</v>
      </c>
      <c r="Y13" s="50">
        <v>0</v>
      </c>
      <c r="Z13" s="50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2">
        <f>SUM(Tabla63[[#This Row],[ENERO]:[DICIEMBRE]])</f>
        <v>0</v>
      </c>
      <c r="AI13" s="48" t="s">
        <v>51</v>
      </c>
      <c r="AJ13" s="47">
        <v>10</v>
      </c>
      <c r="AK13" s="177" t="s">
        <v>166</v>
      </c>
      <c r="AL13" s="170">
        <f>[2]P010!$B$5</f>
        <v>532800</v>
      </c>
      <c r="AM13" s="170">
        <f>[1]P010!$B$6</f>
        <v>532800</v>
      </c>
      <c r="AN13" s="170">
        <v>0</v>
      </c>
      <c r="AO13" s="170">
        <v>0</v>
      </c>
      <c r="AP13" s="17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  <c r="AV13" s="50">
        <v>0</v>
      </c>
      <c r="AW13" s="50">
        <v>0</v>
      </c>
      <c r="AX13" s="45">
        <f>SUM(Tabla634[[#This Row],[ENERO]:[DICIEMBRE]])</f>
        <v>1065600</v>
      </c>
    </row>
    <row r="14" spans="1:50" ht="15" hidden="1" customHeight="1">
      <c r="A14" s="37" t="s">
        <v>51</v>
      </c>
      <c r="B14" s="36">
        <v>11</v>
      </c>
      <c r="D14" s="76">
        <f>[1]P001!$K$5</f>
        <v>0</v>
      </c>
      <c r="E14" s="76">
        <f>[1]P001!$K$5</f>
        <v>0</v>
      </c>
      <c r="P14" s="42">
        <f>SUM(Tabla6[[#This Row],[ENERO]:[DICIEMBRE]])</f>
        <v>0</v>
      </c>
      <c r="R14" s="48" t="s">
        <v>51</v>
      </c>
      <c r="S14" s="47">
        <v>11</v>
      </c>
      <c r="T14" s="177"/>
      <c r="U14" s="50">
        <f>[3]P011!$L$5</f>
        <v>0</v>
      </c>
      <c r="V14" s="50">
        <f>[3]P011!$L$5</f>
        <v>0</v>
      </c>
      <c r="W14" s="50"/>
      <c r="X14" s="50">
        <f>[3]P011!$L$8</f>
        <v>0</v>
      </c>
      <c r="Y14" s="50">
        <f>[3]P011!$L$9</f>
        <v>0</v>
      </c>
      <c r="Z14" s="50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52">
        <f>SUM(Tabla63[[#This Row],[ENERO]:[DICIEMBRE]])</f>
        <v>0</v>
      </c>
      <c r="AI14" s="48" t="s">
        <v>51</v>
      </c>
      <c r="AJ14" s="47">
        <v>11</v>
      </c>
      <c r="AK14" s="177"/>
      <c r="AL14" s="170">
        <v>0</v>
      </c>
      <c r="AM14" s="170">
        <f>[1]P005!$B$6</f>
        <v>177600</v>
      </c>
      <c r="AN14" s="170">
        <v>0</v>
      </c>
      <c r="AO14" s="170">
        <v>0</v>
      </c>
      <c r="AP14" s="17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  <c r="AV14" s="50">
        <v>0</v>
      </c>
      <c r="AW14" s="50">
        <v>0</v>
      </c>
      <c r="AX14" s="45">
        <f>SUM(Tabla634[[#This Row],[ENERO]:[DICIEMBRE]])</f>
        <v>177600</v>
      </c>
    </row>
    <row r="15" spans="1:50">
      <c r="A15" s="37" t="s">
        <v>51</v>
      </c>
      <c r="B15" s="36">
        <v>12</v>
      </c>
      <c r="C15" s="177" t="s">
        <v>136</v>
      </c>
      <c r="D15" s="76">
        <f>[1]P012!$K$5</f>
        <v>0</v>
      </c>
      <c r="E15" s="76">
        <f>[1]P012!$K$6</f>
        <v>0</v>
      </c>
      <c r="P15" s="42">
        <f>SUM(Tabla6[[#This Row],[ENERO]:[DICIEMBRE]])</f>
        <v>0</v>
      </c>
      <c r="R15" s="48" t="s">
        <v>51</v>
      </c>
      <c r="S15" s="47">
        <v>12</v>
      </c>
      <c r="T15" s="177" t="s">
        <v>136</v>
      </c>
      <c r="U15" s="50">
        <f>[1]P012!$L$5</f>
        <v>1821900</v>
      </c>
      <c r="V15" s="50">
        <f>[1]P012!$L$6</f>
        <v>1821900</v>
      </c>
      <c r="W15" s="50"/>
      <c r="X15" s="50">
        <v>0</v>
      </c>
      <c r="Y15" s="50">
        <v>0</v>
      </c>
      <c r="Z15" s="50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0</v>
      </c>
      <c r="AF15" s="53">
        <v>0</v>
      </c>
      <c r="AG15" s="52">
        <f>SUM(Tabla63[[#This Row],[ENERO]:[DICIEMBRE]])</f>
        <v>3643800</v>
      </c>
      <c r="AI15" s="48" t="s">
        <v>51</v>
      </c>
      <c r="AJ15" s="47">
        <v>12</v>
      </c>
      <c r="AK15" s="177" t="s">
        <v>136</v>
      </c>
      <c r="AL15" s="170">
        <f>[2]P012!$B$5</f>
        <v>1821900</v>
      </c>
      <c r="AM15" s="170">
        <f>[1]P012!$B$6</f>
        <v>1821900</v>
      </c>
      <c r="AN15" s="170">
        <v>0</v>
      </c>
      <c r="AO15" s="170">
        <v>0</v>
      </c>
      <c r="AP15" s="17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  <c r="AV15" s="50">
        <v>0</v>
      </c>
      <c r="AW15" s="50">
        <v>0</v>
      </c>
      <c r="AX15" s="45">
        <f>SUM(Tabla634[[#This Row],[ENERO]:[DICIEMBRE]])</f>
        <v>3643800</v>
      </c>
    </row>
    <row r="16" spans="1:50" hidden="1">
      <c r="A16" s="37" t="s">
        <v>51</v>
      </c>
      <c r="B16" s="36">
        <v>13</v>
      </c>
      <c r="C16" s="177" t="s">
        <v>137</v>
      </c>
      <c r="D16" s="76">
        <f>[1]P001!$K$5</f>
        <v>0</v>
      </c>
      <c r="E16" s="76">
        <f>[1]P001!$K$5</f>
        <v>0</v>
      </c>
      <c r="P16" s="42">
        <f>SUM(Tabla6[[#This Row],[ENERO]:[DICIEMBRE]])</f>
        <v>0</v>
      </c>
      <c r="R16" s="48" t="s">
        <v>51</v>
      </c>
      <c r="S16" s="47">
        <v>13</v>
      </c>
      <c r="T16" s="177" t="s">
        <v>137</v>
      </c>
      <c r="U16" s="50">
        <f>[3]P013!$L$5</f>
        <v>163200</v>
      </c>
      <c r="V16" s="50">
        <f>[3]P013!$L$5</f>
        <v>163200</v>
      </c>
      <c r="W16" s="50"/>
      <c r="X16" s="50">
        <f>[3]P013!$L$8</f>
        <v>257500</v>
      </c>
      <c r="Y16" s="50">
        <f>[3]P013!$L$9</f>
        <v>257500</v>
      </c>
      <c r="Z16" s="50">
        <v>0</v>
      </c>
      <c r="AA16" s="53">
        <v>0</v>
      </c>
      <c r="AB16" s="53">
        <v>0</v>
      </c>
      <c r="AC16" s="53">
        <v>0</v>
      </c>
      <c r="AD16" s="53">
        <v>0</v>
      </c>
      <c r="AE16" s="53">
        <v>0</v>
      </c>
      <c r="AF16" s="53">
        <v>0</v>
      </c>
      <c r="AG16" s="52">
        <f>SUM(Tabla63[[#This Row],[ENERO]:[DICIEMBRE]])</f>
        <v>841400</v>
      </c>
      <c r="AI16" s="48" t="s">
        <v>51</v>
      </c>
      <c r="AJ16" s="47">
        <v>13</v>
      </c>
      <c r="AK16" s="177" t="s">
        <v>137</v>
      </c>
      <c r="AL16" s="170">
        <v>0</v>
      </c>
      <c r="AM16" s="170">
        <f>[1]P005!$B$6</f>
        <v>177600</v>
      </c>
      <c r="AN16" s="170">
        <v>0</v>
      </c>
      <c r="AO16" s="170">
        <v>0</v>
      </c>
      <c r="AP16" s="17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  <c r="AV16" s="50">
        <v>0</v>
      </c>
      <c r="AW16" s="50">
        <v>0</v>
      </c>
      <c r="AX16" s="45">
        <f>SUM(Tabla634[[#This Row],[ENERO]:[DICIEMBRE]])</f>
        <v>177600</v>
      </c>
    </row>
    <row r="17" spans="1:50" ht="15" hidden="1" customHeight="1">
      <c r="A17" s="37" t="s">
        <v>51</v>
      </c>
      <c r="B17" s="36">
        <v>14</v>
      </c>
      <c r="D17" s="76">
        <f>[1]P001!$K$5</f>
        <v>0</v>
      </c>
      <c r="E17" s="76">
        <f>[1]P001!$K$5</f>
        <v>0</v>
      </c>
      <c r="P17" s="42">
        <f>SUM(Tabla6[[#This Row],[ENERO]:[DICIEMBRE]])</f>
        <v>0</v>
      </c>
      <c r="R17" s="48" t="s">
        <v>51</v>
      </c>
      <c r="S17" s="47">
        <v>14</v>
      </c>
      <c r="T17" s="177"/>
      <c r="U17" s="50">
        <f>[3]P014!$L$5</f>
        <v>0</v>
      </c>
      <c r="V17" s="50">
        <f>[3]P014!$L$5</f>
        <v>0</v>
      </c>
      <c r="W17" s="50"/>
      <c r="X17" s="50">
        <f>[3]P014!$L$8</f>
        <v>0</v>
      </c>
      <c r="Y17" s="50">
        <f>[3]P014!$L$9</f>
        <v>0</v>
      </c>
      <c r="Z17" s="50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2">
        <f>SUM(Tabla63[[#This Row],[ENERO]:[DICIEMBRE]])</f>
        <v>0</v>
      </c>
      <c r="AI17" s="48" t="s">
        <v>51</v>
      </c>
      <c r="AJ17" s="47">
        <v>14</v>
      </c>
      <c r="AK17" s="177"/>
      <c r="AL17" s="170">
        <v>0</v>
      </c>
      <c r="AM17" s="170">
        <f>[1]P005!$B$6</f>
        <v>177600</v>
      </c>
      <c r="AN17" s="170">
        <v>0</v>
      </c>
      <c r="AO17" s="170">
        <v>0</v>
      </c>
      <c r="AP17" s="17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  <c r="AV17" s="50">
        <v>0</v>
      </c>
      <c r="AW17" s="50">
        <v>0</v>
      </c>
      <c r="AX17" s="45">
        <f>SUM(Tabla634[[#This Row],[ENERO]:[DICIEMBRE]])</f>
        <v>177600</v>
      </c>
    </row>
    <row r="18" spans="1:50" hidden="1">
      <c r="A18" s="37" t="s">
        <v>51</v>
      </c>
      <c r="B18" s="36">
        <v>15</v>
      </c>
      <c r="D18" s="76">
        <f>[1]P001!$K$5</f>
        <v>0</v>
      </c>
      <c r="E18" s="76">
        <f>[1]P001!$K$5</f>
        <v>0</v>
      </c>
      <c r="P18" s="42">
        <f>SUM(Tabla6[[#This Row],[ENERO]:[DICIEMBRE]])</f>
        <v>0</v>
      </c>
      <c r="R18" s="48" t="s">
        <v>51</v>
      </c>
      <c r="S18" s="47">
        <v>15</v>
      </c>
      <c r="T18" s="177"/>
      <c r="U18" s="50">
        <f>[3]P015!$L$5</f>
        <v>22750</v>
      </c>
      <c r="V18" s="50">
        <f>[3]P015!$L$5</f>
        <v>22750</v>
      </c>
      <c r="W18" s="50"/>
      <c r="X18" s="50">
        <f>[3]P015!$L$8</f>
        <v>0</v>
      </c>
      <c r="Y18" s="50">
        <f>[3]P015!$L$9</f>
        <v>0</v>
      </c>
      <c r="Z18" s="50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2">
        <f>SUM(Tabla63[[#This Row],[ENERO]:[DICIEMBRE]])</f>
        <v>45500</v>
      </c>
      <c r="AI18" s="48" t="s">
        <v>51</v>
      </c>
      <c r="AJ18" s="47">
        <v>15</v>
      </c>
      <c r="AK18" s="177"/>
      <c r="AL18" s="170">
        <v>0</v>
      </c>
      <c r="AM18" s="170">
        <f>[1]P005!$B$6</f>
        <v>177600</v>
      </c>
      <c r="AN18" s="170">
        <v>0</v>
      </c>
      <c r="AO18" s="170">
        <v>0</v>
      </c>
      <c r="AP18" s="17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  <c r="AV18" s="50">
        <v>0</v>
      </c>
      <c r="AW18" s="50">
        <v>0</v>
      </c>
      <c r="AX18" s="45">
        <f>SUM(Tabla634[[#This Row],[ENERO]:[DICIEMBRE]])</f>
        <v>177600</v>
      </c>
    </row>
    <row r="19" spans="1:50">
      <c r="A19" s="37" t="s">
        <v>51</v>
      </c>
      <c r="B19" s="36">
        <v>16</v>
      </c>
      <c r="C19" s="177" t="s">
        <v>167</v>
      </c>
      <c r="D19" s="76">
        <f>[1]PO16!$K$5</f>
        <v>710600</v>
      </c>
      <c r="E19" s="76">
        <f>[1]PO16!$K$6</f>
        <v>710600</v>
      </c>
      <c r="P19" s="42">
        <f>SUM(Tabla6[[#This Row],[ENERO]:[DICIEMBRE]])</f>
        <v>1421200</v>
      </c>
      <c r="R19" s="48" t="s">
        <v>51</v>
      </c>
      <c r="S19" s="47">
        <v>16</v>
      </c>
      <c r="T19" s="177" t="s">
        <v>167</v>
      </c>
      <c r="U19" s="50">
        <f>[1]PO16!$L$5</f>
        <v>0</v>
      </c>
      <c r="V19" s="50">
        <f>[1]PO16!$L$6</f>
        <v>0</v>
      </c>
      <c r="W19" s="50"/>
      <c r="X19" s="50">
        <v>0</v>
      </c>
      <c r="Y19" s="50">
        <v>0</v>
      </c>
      <c r="Z19" s="50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2">
        <f>SUM(Tabla63[[#This Row],[ENERO]:[DICIEMBRE]])</f>
        <v>0</v>
      </c>
      <c r="AI19" s="48" t="s">
        <v>51</v>
      </c>
      <c r="AJ19" s="47">
        <v>16</v>
      </c>
      <c r="AK19" s="177" t="s">
        <v>167</v>
      </c>
      <c r="AL19" s="170">
        <f>[2]PO16!$B$5</f>
        <v>710600</v>
      </c>
      <c r="AM19" s="170">
        <f>[1]PO16!$B$6</f>
        <v>710600</v>
      </c>
      <c r="AN19" s="170">
        <v>0</v>
      </c>
      <c r="AO19" s="170">
        <v>0</v>
      </c>
      <c r="AP19" s="17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45">
        <f>SUM(Tabla634[[#This Row],[ENERO]:[DICIEMBRE]])</f>
        <v>1421200</v>
      </c>
    </row>
    <row r="20" spans="1:50">
      <c r="A20" s="37" t="s">
        <v>51</v>
      </c>
      <c r="B20" s="36">
        <v>17</v>
      </c>
      <c r="C20" s="177" t="s">
        <v>138</v>
      </c>
      <c r="D20" s="76">
        <f>[1]P017!$K$5</f>
        <v>177600</v>
      </c>
      <c r="E20" s="76">
        <f>[1]P017!$K$6</f>
        <v>177600</v>
      </c>
      <c r="P20" s="42">
        <f>SUM(Tabla6[[#This Row],[ENERO]:[DICIEMBRE]])</f>
        <v>355200</v>
      </c>
      <c r="R20" s="48" t="s">
        <v>51</v>
      </c>
      <c r="S20" s="47">
        <v>17</v>
      </c>
      <c r="T20" s="177" t="s">
        <v>138</v>
      </c>
      <c r="U20" s="50">
        <f>[1]P017!$L$5</f>
        <v>0</v>
      </c>
      <c r="V20" s="50">
        <f>[1]P017!$L$6</f>
        <v>0</v>
      </c>
      <c r="W20" s="50"/>
      <c r="X20" s="50">
        <v>0</v>
      </c>
      <c r="Y20" s="50">
        <v>0</v>
      </c>
      <c r="Z20" s="50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2">
        <f>SUM(Tabla63[[#This Row],[ENERO]:[DICIEMBRE]])</f>
        <v>0</v>
      </c>
      <c r="AI20" s="48" t="s">
        <v>51</v>
      </c>
      <c r="AJ20" s="47">
        <v>17</v>
      </c>
      <c r="AK20" s="177" t="s">
        <v>138</v>
      </c>
      <c r="AL20" s="170">
        <f>[2]P017!$B$5</f>
        <v>177600</v>
      </c>
      <c r="AM20" s="170">
        <f>[1]P017!$B$6</f>
        <v>177600</v>
      </c>
      <c r="AN20" s="170">
        <v>0</v>
      </c>
      <c r="AO20" s="170">
        <v>0</v>
      </c>
      <c r="AP20" s="17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  <c r="AV20" s="50">
        <v>0</v>
      </c>
      <c r="AW20" s="50">
        <v>0</v>
      </c>
      <c r="AX20" s="45">
        <f>SUM(Tabla634[[#This Row],[ENERO]:[DICIEMBRE]])</f>
        <v>355200</v>
      </c>
    </row>
    <row r="21" spans="1:50" ht="15" hidden="1" customHeight="1">
      <c r="A21" s="37" t="s">
        <v>51</v>
      </c>
      <c r="B21" s="36">
        <v>18</v>
      </c>
      <c r="D21" s="76">
        <f>[1]P001!$K$5</f>
        <v>0</v>
      </c>
      <c r="E21" s="76">
        <f>[1]P001!$K$5</f>
        <v>0</v>
      </c>
      <c r="P21" s="42">
        <f>SUM(Tabla6[[#This Row],[ENERO]:[DICIEMBRE]])</f>
        <v>0</v>
      </c>
      <c r="R21" s="48" t="s">
        <v>51</v>
      </c>
      <c r="S21" s="47">
        <v>18</v>
      </c>
      <c r="T21" s="177"/>
      <c r="U21" s="50">
        <f>[3]P018!$L$5</f>
        <v>0</v>
      </c>
      <c r="V21" s="50">
        <f>[3]P018!$L$5</f>
        <v>0</v>
      </c>
      <c r="W21" s="50"/>
      <c r="X21" s="50">
        <f>[3]P018!$L$8</f>
        <v>0</v>
      </c>
      <c r="Y21" s="50">
        <f>[3]P018!$L$9</f>
        <v>0</v>
      </c>
      <c r="Z21" s="50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2">
        <f>SUM(Tabla63[[#This Row],[ENERO]:[DICIEMBRE]])</f>
        <v>0</v>
      </c>
      <c r="AI21" s="48" t="s">
        <v>51</v>
      </c>
      <c r="AJ21" s="47">
        <v>18</v>
      </c>
      <c r="AK21" s="177"/>
      <c r="AL21" s="170">
        <v>0</v>
      </c>
      <c r="AM21" s="170">
        <f>[1]P005!$B$6</f>
        <v>177600</v>
      </c>
      <c r="AN21" s="170">
        <v>0</v>
      </c>
      <c r="AO21" s="170">
        <v>0</v>
      </c>
      <c r="AP21" s="17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  <c r="AV21" s="50">
        <v>0</v>
      </c>
      <c r="AW21" s="50">
        <v>0</v>
      </c>
      <c r="AX21" s="45">
        <f>SUM(Tabla634[[#This Row],[ENERO]:[DICIEMBRE]])</f>
        <v>177600</v>
      </c>
    </row>
    <row r="22" spans="1:50" ht="15" hidden="1" customHeight="1">
      <c r="A22" s="37" t="s">
        <v>51</v>
      </c>
      <c r="B22" s="36">
        <v>19</v>
      </c>
      <c r="D22" s="76">
        <f>[1]P001!$K$5</f>
        <v>0</v>
      </c>
      <c r="E22" s="76">
        <f>[1]P001!$K$5</f>
        <v>0</v>
      </c>
      <c r="P22" s="42">
        <f>SUM(Tabla6[[#This Row],[ENERO]:[DICIEMBRE]])</f>
        <v>0</v>
      </c>
      <c r="R22" s="48" t="s">
        <v>51</v>
      </c>
      <c r="S22" s="47">
        <v>19</v>
      </c>
      <c r="T22" s="177"/>
      <c r="U22" s="50">
        <f>[3]P019!$L$5</f>
        <v>0</v>
      </c>
      <c r="V22" s="50">
        <f>[3]P019!$L$5</f>
        <v>0</v>
      </c>
      <c r="W22" s="50"/>
      <c r="X22" s="50">
        <f>[3]P019!$L$8</f>
        <v>0</v>
      </c>
      <c r="Y22" s="50">
        <f>[3]P019!$L$9</f>
        <v>0</v>
      </c>
      <c r="Z22" s="50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2">
        <f>SUM(Tabla63[[#This Row],[ENERO]:[DICIEMBRE]])</f>
        <v>0</v>
      </c>
      <c r="AI22" s="48" t="s">
        <v>51</v>
      </c>
      <c r="AJ22" s="47">
        <v>19</v>
      </c>
      <c r="AK22" s="177"/>
      <c r="AL22" s="170">
        <v>0</v>
      </c>
      <c r="AM22" s="170">
        <f>[1]P005!$B$6</f>
        <v>177600</v>
      </c>
      <c r="AN22" s="170">
        <v>0</v>
      </c>
      <c r="AO22" s="170">
        <v>0</v>
      </c>
      <c r="AP22" s="17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45">
        <f>SUM(Tabla634[[#This Row],[ENERO]:[DICIEMBRE]])</f>
        <v>177600</v>
      </c>
    </row>
    <row r="23" spans="1:50" ht="15" hidden="1" customHeight="1">
      <c r="A23" s="37" t="s">
        <v>51</v>
      </c>
      <c r="B23" s="36">
        <v>20</v>
      </c>
      <c r="D23" s="76">
        <f>[1]P001!$K$5</f>
        <v>0</v>
      </c>
      <c r="E23" s="76">
        <f>[1]P001!$K$5</f>
        <v>0</v>
      </c>
      <c r="P23" s="42">
        <f>SUM(Tabla6[[#This Row],[ENERO]:[DICIEMBRE]])</f>
        <v>0</v>
      </c>
      <c r="R23" s="48" t="s">
        <v>51</v>
      </c>
      <c r="S23" s="47">
        <v>20</v>
      </c>
      <c r="T23" s="177"/>
      <c r="U23" s="50">
        <f>[3]P020!$L$5</f>
        <v>0</v>
      </c>
      <c r="V23" s="50">
        <f>[3]P020!$L$5</f>
        <v>0</v>
      </c>
      <c r="W23" s="50"/>
      <c r="X23" s="50">
        <f>[3]P020!$L$8</f>
        <v>0</v>
      </c>
      <c r="Y23" s="50">
        <f>[3]P020!$L$9</f>
        <v>0</v>
      </c>
      <c r="Z23" s="50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52">
        <f>SUM(Tabla63[[#This Row],[ENERO]:[DICIEMBRE]])</f>
        <v>0</v>
      </c>
      <c r="AI23" s="48" t="s">
        <v>51</v>
      </c>
      <c r="AJ23" s="47">
        <v>20</v>
      </c>
      <c r="AK23" s="177"/>
      <c r="AL23" s="170">
        <v>0</v>
      </c>
      <c r="AM23" s="170">
        <f>[1]P005!$B$6</f>
        <v>177600</v>
      </c>
      <c r="AN23" s="170">
        <v>0</v>
      </c>
      <c r="AO23" s="170">
        <v>0</v>
      </c>
      <c r="AP23" s="17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  <c r="AV23" s="50">
        <v>0</v>
      </c>
      <c r="AW23" s="50">
        <v>0</v>
      </c>
      <c r="AX23" s="45">
        <f>SUM(Tabla634[[#This Row],[ENERO]:[DICIEMBRE]])</f>
        <v>177600</v>
      </c>
    </row>
    <row r="24" spans="1:50">
      <c r="A24" s="37" t="s">
        <v>51</v>
      </c>
      <c r="B24" s="36">
        <v>21</v>
      </c>
      <c r="C24" s="177" t="s">
        <v>168</v>
      </c>
      <c r="D24" s="76">
        <f>[1]P021!$K$5</f>
        <v>710435</v>
      </c>
      <c r="E24" s="76">
        <f>[1]P021!$K$6</f>
        <v>710435</v>
      </c>
      <c r="P24" s="42">
        <f>SUM(Tabla6[[#This Row],[ENERO]:[DICIEMBRE]])</f>
        <v>1420870</v>
      </c>
      <c r="R24" s="48" t="s">
        <v>51</v>
      </c>
      <c r="S24" s="47">
        <v>21</v>
      </c>
      <c r="T24" s="177" t="s">
        <v>168</v>
      </c>
      <c r="U24" s="50">
        <f>[1]P021!$L$5</f>
        <v>710435</v>
      </c>
      <c r="V24" s="50">
        <f>[1]P021!$L$6</f>
        <v>0</v>
      </c>
      <c r="W24" s="50"/>
      <c r="X24" s="50">
        <v>0</v>
      </c>
      <c r="Y24" s="50">
        <v>0</v>
      </c>
      <c r="Z24" s="50">
        <v>0</v>
      </c>
      <c r="AA24" s="53">
        <v>0</v>
      </c>
      <c r="AB24" s="53">
        <v>0</v>
      </c>
      <c r="AC24" s="53">
        <v>0</v>
      </c>
      <c r="AD24" s="53">
        <v>0</v>
      </c>
      <c r="AE24" s="53">
        <v>0</v>
      </c>
      <c r="AF24" s="53">
        <v>0</v>
      </c>
      <c r="AG24" s="52">
        <f>SUM(Tabla63[[#This Row],[ENERO]:[DICIEMBRE]])</f>
        <v>710435</v>
      </c>
      <c r="AI24" s="48" t="s">
        <v>51</v>
      </c>
      <c r="AJ24" s="47">
        <v>21</v>
      </c>
      <c r="AK24" s="177" t="s">
        <v>168</v>
      </c>
      <c r="AL24" s="170">
        <f>[2]P021!$B$5</f>
        <v>710435</v>
      </c>
      <c r="AM24" s="170">
        <f>[1]P021!$B$6</f>
        <v>710435</v>
      </c>
      <c r="AN24" s="170">
        <v>0</v>
      </c>
      <c r="AO24" s="170">
        <v>0</v>
      </c>
      <c r="AP24" s="17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  <c r="AV24" s="50">
        <v>0</v>
      </c>
      <c r="AW24" s="50">
        <v>0</v>
      </c>
      <c r="AX24" s="45">
        <f>SUM(Tabla634[[#This Row],[ENERO]:[DICIEMBRE]])</f>
        <v>1420870</v>
      </c>
    </row>
    <row r="25" spans="1:50" ht="15" hidden="1" customHeight="1">
      <c r="A25" s="37" t="s">
        <v>51</v>
      </c>
      <c r="B25" s="36">
        <v>22</v>
      </c>
      <c r="D25" s="76">
        <f>[1]P001!$K$5</f>
        <v>0</v>
      </c>
      <c r="E25" s="76">
        <f>[1]P001!$K$5</f>
        <v>0</v>
      </c>
      <c r="P25" s="42">
        <f>SUM(Tabla6[[#This Row],[ENERO]:[DICIEMBRE]])</f>
        <v>0</v>
      </c>
      <c r="R25" s="48" t="s">
        <v>51</v>
      </c>
      <c r="S25" s="47">
        <v>22</v>
      </c>
      <c r="T25" s="177"/>
      <c r="U25" s="50">
        <f>[3]P022!$L$5</f>
        <v>0</v>
      </c>
      <c r="V25" s="50">
        <f>[3]P022!$L$5</f>
        <v>0</v>
      </c>
      <c r="W25" s="50"/>
      <c r="X25" s="50">
        <f>[3]P022!$L$8</f>
        <v>0</v>
      </c>
      <c r="Y25" s="50">
        <f>[3]P022!$L$9</f>
        <v>0</v>
      </c>
      <c r="Z25" s="50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0</v>
      </c>
      <c r="AF25" s="53">
        <v>0</v>
      </c>
      <c r="AG25" s="52">
        <f>SUM(Tabla63[[#This Row],[ENERO]:[DICIEMBRE]])</f>
        <v>0</v>
      </c>
      <c r="AI25" s="48" t="s">
        <v>51</v>
      </c>
      <c r="AJ25" s="47">
        <v>22</v>
      </c>
      <c r="AK25" s="177"/>
      <c r="AL25" s="170">
        <v>0</v>
      </c>
      <c r="AM25" s="170">
        <f>[1]P005!$B$6</f>
        <v>177600</v>
      </c>
      <c r="AN25" s="170">
        <v>0</v>
      </c>
      <c r="AO25" s="170">
        <v>0</v>
      </c>
      <c r="AP25" s="17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0</v>
      </c>
      <c r="AW25" s="50">
        <v>0</v>
      </c>
      <c r="AX25" s="45">
        <f>SUM(Tabla634[[#This Row],[ENERO]:[DICIEMBRE]])</f>
        <v>177600</v>
      </c>
    </row>
    <row r="26" spans="1:50" hidden="1">
      <c r="A26" s="37" t="s">
        <v>51</v>
      </c>
      <c r="B26" s="36">
        <v>23</v>
      </c>
      <c r="D26" s="76">
        <f>[1]P001!$K$5</f>
        <v>0</v>
      </c>
      <c r="E26" s="76">
        <f>[1]P001!$K$5</f>
        <v>0</v>
      </c>
      <c r="P26" s="42">
        <f>SUM(Tabla6[[#This Row],[ENERO]:[DICIEMBRE]])</f>
        <v>0</v>
      </c>
      <c r="R26" s="48" t="s">
        <v>51</v>
      </c>
      <c r="S26" s="47">
        <v>23</v>
      </c>
      <c r="T26" s="177"/>
      <c r="U26" s="50">
        <f>[3]P023!$L$5</f>
        <v>110500</v>
      </c>
      <c r="V26" s="50">
        <f>[3]P023!$L$5</f>
        <v>110500</v>
      </c>
      <c r="W26" s="50"/>
      <c r="X26" s="50">
        <f>[3]P023!$L$8</f>
        <v>110500</v>
      </c>
      <c r="Y26" s="50">
        <f>[3]P023!$L$9</f>
        <v>0</v>
      </c>
      <c r="Z26" s="50">
        <v>0</v>
      </c>
      <c r="AA26" s="53">
        <v>0</v>
      </c>
      <c r="AB26" s="53">
        <v>0</v>
      </c>
      <c r="AC26" s="53">
        <v>0</v>
      </c>
      <c r="AD26" s="53">
        <v>0</v>
      </c>
      <c r="AE26" s="53">
        <v>0</v>
      </c>
      <c r="AF26" s="53">
        <v>0</v>
      </c>
      <c r="AG26" s="52">
        <f>SUM(Tabla63[[#This Row],[ENERO]:[DICIEMBRE]])</f>
        <v>331500</v>
      </c>
      <c r="AI26" s="48" t="s">
        <v>51</v>
      </c>
      <c r="AJ26" s="47">
        <v>23</v>
      </c>
      <c r="AK26" s="177"/>
      <c r="AL26" s="170">
        <v>0</v>
      </c>
      <c r="AM26" s="170">
        <f>[1]P005!$B$6</f>
        <v>177600</v>
      </c>
      <c r="AN26" s="170">
        <v>0</v>
      </c>
      <c r="AO26" s="170">
        <v>0</v>
      </c>
      <c r="AP26" s="17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  <c r="AV26" s="50">
        <v>0</v>
      </c>
      <c r="AW26" s="50">
        <v>0</v>
      </c>
      <c r="AX26" s="45">
        <f>SUM(Tabla634[[#This Row],[ENERO]:[DICIEMBRE]])</f>
        <v>177600</v>
      </c>
    </row>
    <row r="27" spans="1:50">
      <c r="A27" s="37" t="s">
        <v>51</v>
      </c>
      <c r="B27" s="36">
        <v>24</v>
      </c>
      <c r="C27" s="177" t="s">
        <v>139</v>
      </c>
      <c r="D27" s="76">
        <f>[1]P024!$K$5</f>
        <v>0</v>
      </c>
      <c r="E27" s="76">
        <f>[1]P024!$K$6</f>
        <v>355200</v>
      </c>
      <c r="P27" s="42">
        <f>SUM(Tabla6[[#This Row],[ENERO]:[DICIEMBRE]])</f>
        <v>355200</v>
      </c>
      <c r="R27" s="48" t="s">
        <v>51</v>
      </c>
      <c r="S27" s="47">
        <v>24</v>
      </c>
      <c r="T27" s="177" t="s">
        <v>139</v>
      </c>
      <c r="U27" s="50">
        <f>[1]P024!$L$5</f>
        <v>13500</v>
      </c>
      <c r="V27" s="50">
        <f>[1]P024!$L$6</f>
        <v>0</v>
      </c>
      <c r="W27" s="50"/>
      <c r="X27" s="50">
        <v>0</v>
      </c>
      <c r="Y27" s="50">
        <v>0</v>
      </c>
      <c r="Z27" s="50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2">
        <f>SUM(Tabla63[[#This Row],[ENERO]:[DICIEMBRE]])</f>
        <v>13500</v>
      </c>
      <c r="AI27" s="48" t="s">
        <v>51</v>
      </c>
      <c r="AJ27" s="47">
        <v>24</v>
      </c>
      <c r="AK27" s="177" t="s">
        <v>139</v>
      </c>
      <c r="AL27" s="170">
        <f>[2]P024!$B$5</f>
        <v>355200</v>
      </c>
      <c r="AM27" s="170">
        <f>[1]P024!$B$6</f>
        <v>355200</v>
      </c>
      <c r="AN27" s="170">
        <v>0</v>
      </c>
      <c r="AO27" s="170">
        <v>0</v>
      </c>
      <c r="AP27" s="17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  <c r="AV27" s="50">
        <v>0</v>
      </c>
      <c r="AW27" s="50">
        <v>0</v>
      </c>
      <c r="AX27" s="45">
        <f>SUM(Tabla634[[#This Row],[ENERO]:[DICIEMBRE]])</f>
        <v>710400</v>
      </c>
    </row>
    <row r="28" spans="1:50">
      <c r="A28" s="37" t="s">
        <v>51</v>
      </c>
      <c r="B28" s="36">
        <v>25</v>
      </c>
      <c r="C28" s="177" t="s">
        <v>140</v>
      </c>
      <c r="D28" s="76">
        <f>[1]P025!$K$5</f>
        <v>0</v>
      </c>
      <c r="E28" s="76">
        <f>[1]P025!$K$6</f>
        <v>177600</v>
      </c>
      <c r="P28" s="42">
        <f>SUM(Tabla6[[#This Row],[ENERO]:[DICIEMBRE]])</f>
        <v>177600</v>
      </c>
      <c r="R28" s="48" t="s">
        <v>51</v>
      </c>
      <c r="S28" s="47">
        <v>25</v>
      </c>
      <c r="T28" s="177" t="s">
        <v>140</v>
      </c>
      <c r="U28" s="50">
        <f>[1]P025!$L$5</f>
        <v>177600</v>
      </c>
      <c r="V28" s="50">
        <f>[1]P025!$L$6</f>
        <v>0</v>
      </c>
      <c r="W28" s="50"/>
      <c r="X28" s="50">
        <v>0</v>
      </c>
      <c r="Y28" s="50">
        <v>0</v>
      </c>
      <c r="Z28" s="50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0</v>
      </c>
      <c r="AF28" s="53">
        <v>0</v>
      </c>
      <c r="AG28" s="52">
        <f>SUM(Tabla63[[#This Row],[ENERO]:[DICIEMBRE]])</f>
        <v>177600</v>
      </c>
      <c r="AI28" s="48" t="s">
        <v>51</v>
      </c>
      <c r="AJ28" s="47">
        <v>25</v>
      </c>
      <c r="AK28" s="177" t="s">
        <v>140</v>
      </c>
      <c r="AL28" s="170">
        <f>[2]P025!$B$5</f>
        <v>177600</v>
      </c>
      <c r="AM28" s="170">
        <f>[1]P025!$B$6</f>
        <v>177600</v>
      </c>
      <c r="AN28" s="170">
        <v>0</v>
      </c>
      <c r="AO28" s="170">
        <v>0</v>
      </c>
      <c r="AP28" s="17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45">
        <f>SUM(Tabla634[[#This Row],[ENERO]:[DICIEMBRE]])</f>
        <v>355200</v>
      </c>
    </row>
    <row r="29" spans="1:50" ht="15" hidden="1" customHeight="1">
      <c r="A29" s="37" t="s">
        <v>51</v>
      </c>
      <c r="B29" s="36">
        <v>26</v>
      </c>
      <c r="D29" s="76">
        <f>[1]P001!$K$5</f>
        <v>0</v>
      </c>
      <c r="E29" s="76">
        <f>[1]P001!$K$5</f>
        <v>0</v>
      </c>
      <c r="P29" s="42">
        <f>SUM(Tabla6[[#This Row],[ENERO]:[DICIEMBRE]])</f>
        <v>0</v>
      </c>
      <c r="R29" s="48" t="s">
        <v>51</v>
      </c>
      <c r="S29" s="47">
        <v>26</v>
      </c>
      <c r="T29" s="177"/>
      <c r="U29" s="50">
        <f>[3]P026!$L$5</f>
        <v>0</v>
      </c>
      <c r="V29" s="50"/>
      <c r="W29" s="50"/>
      <c r="X29" s="50">
        <f>[3]P026!$L$8</f>
        <v>0</v>
      </c>
      <c r="Y29" s="50">
        <f>[3]P026!$L$9</f>
        <v>0</v>
      </c>
      <c r="Z29" s="50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2">
        <f>SUM(Tabla63[[#This Row],[ENERO]:[DICIEMBRE]])</f>
        <v>0</v>
      </c>
      <c r="AI29" s="48" t="s">
        <v>51</v>
      </c>
      <c r="AJ29" s="47">
        <v>26</v>
      </c>
      <c r="AK29" s="177"/>
      <c r="AL29" s="170">
        <v>0</v>
      </c>
      <c r="AM29" s="170">
        <f>[1]P005!$B$6</f>
        <v>177600</v>
      </c>
      <c r="AN29" s="170">
        <v>0</v>
      </c>
      <c r="AO29" s="170">
        <v>0</v>
      </c>
      <c r="AP29" s="17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  <c r="AV29" s="50">
        <v>0</v>
      </c>
      <c r="AW29" s="50">
        <v>0</v>
      </c>
      <c r="AX29" s="45">
        <f>SUM(Tabla634[[#This Row],[ENERO]:[DICIEMBRE]])</f>
        <v>177600</v>
      </c>
    </row>
    <row r="30" spans="1:50" ht="15" hidden="1" customHeight="1">
      <c r="A30" s="37" t="s">
        <v>51</v>
      </c>
      <c r="B30" s="36">
        <v>27</v>
      </c>
      <c r="D30" s="76">
        <f>[1]P001!$K$5</f>
        <v>0</v>
      </c>
      <c r="E30" s="76">
        <f>[1]P001!$K$5</f>
        <v>0</v>
      </c>
      <c r="P30" s="42">
        <f>SUM(Tabla6[[#This Row],[ENERO]:[DICIEMBRE]])</f>
        <v>0</v>
      </c>
      <c r="R30" s="48" t="s">
        <v>51</v>
      </c>
      <c r="S30" s="47">
        <v>27</v>
      </c>
      <c r="T30" s="177"/>
      <c r="U30" s="50">
        <f>[3]P027!$L$5</f>
        <v>0</v>
      </c>
      <c r="V30" s="50"/>
      <c r="W30" s="50"/>
      <c r="X30" s="50">
        <f>[3]P027!$L$8</f>
        <v>0</v>
      </c>
      <c r="Y30" s="50">
        <f>[3]P027!$L$9</f>
        <v>0</v>
      </c>
      <c r="Z30" s="50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2">
        <f>SUM(Tabla63[[#This Row],[ENERO]:[DICIEMBRE]])</f>
        <v>0</v>
      </c>
      <c r="AI30" s="48" t="s">
        <v>51</v>
      </c>
      <c r="AJ30" s="47">
        <v>27</v>
      </c>
      <c r="AK30" s="177"/>
      <c r="AL30" s="170">
        <v>0</v>
      </c>
      <c r="AM30" s="170">
        <f>[1]P005!$B$6</f>
        <v>177600</v>
      </c>
      <c r="AN30" s="170">
        <v>0</v>
      </c>
      <c r="AO30" s="170">
        <v>0</v>
      </c>
      <c r="AP30" s="17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  <c r="AV30" s="50">
        <v>0</v>
      </c>
      <c r="AW30" s="50">
        <v>0</v>
      </c>
      <c r="AX30" s="45">
        <f>SUM(Tabla634[[#This Row],[ENERO]:[DICIEMBRE]])</f>
        <v>177600</v>
      </c>
    </row>
    <row r="31" spans="1:50" ht="15" hidden="1" customHeight="1">
      <c r="A31" s="37" t="s">
        <v>51</v>
      </c>
      <c r="B31" s="36">
        <v>28</v>
      </c>
      <c r="D31" s="76">
        <f>[1]P001!$K$5</f>
        <v>0</v>
      </c>
      <c r="E31" s="76">
        <f>[1]P001!$K$5</f>
        <v>0</v>
      </c>
      <c r="P31" s="42">
        <f>SUM(Tabla6[[#This Row],[ENERO]:[DICIEMBRE]])</f>
        <v>0</v>
      </c>
      <c r="R31" s="48" t="s">
        <v>51</v>
      </c>
      <c r="S31" s="47">
        <v>28</v>
      </c>
      <c r="T31" s="177"/>
      <c r="U31" s="50">
        <f>[3]P028!$L$5</f>
        <v>0</v>
      </c>
      <c r="V31" s="50"/>
      <c r="W31" s="50"/>
      <c r="X31" s="50">
        <f>[3]P028!$L$8</f>
        <v>0</v>
      </c>
      <c r="Y31" s="50">
        <f>[3]P028!$L$9</f>
        <v>0</v>
      </c>
      <c r="Z31" s="50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2">
        <f>SUM(Tabla63[[#This Row],[ENERO]:[DICIEMBRE]])</f>
        <v>0</v>
      </c>
      <c r="AI31" s="48" t="s">
        <v>51</v>
      </c>
      <c r="AJ31" s="47">
        <v>28</v>
      </c>
      <c r="AK31" s="177"/>
      <c r="AL31" s="170">
        <v>0</v>
      </c>
      <c r="AM31" s="170">
        <f>[1]P005!$B$6</f>
        <v>177600</v>
      </c>
      <c r="AN31" s="170">
        <v>0</v>
      </c>
      <c r="AO31" s="170">
        <v>0</v>
      </c>
      <c r="AP31" s="17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45">
        <f>SUM(Tabla634[[#This Row],[ENERO]:[DICIEMBRE]])</f>
        <v>177600</v>
      </c>
    </row>
    <row r="32" spans="1:50" ht="15" hidden="1" customHeight="1">
      <c r="A32" s="37" t="s">
        <v>51</v>
      </c>
      <c r="B32" s="36">
        <v>29</v>
      </c>
      <c r="D32" s="76">
        <f>[1]P001!$K$5</f>
        <v>0</v>
      </c>
      <c r="E32" s="76">
        <f>[1]P001!$K$5</f>
        <v>0</v>
      </c>
      <c r="P32" s="42">
        <f>SUM(Tabla6[[#This Row],[ENERO]:[DICIEMBRE]])</f>
        <v>0</v>
      </c>
      <c r="R32" s="48" t="s">
        <v>51</v>
      </c>
      <c r="S32" s="47">
        <v>29</v>
      </c>
      <c r="T32" s="177"/>
      <c r="U32" s="50">
        <f>[3]P029!$L$5</f>
        <v>0</v>
      </c>
      <c r="V32" s="50"/>
      <c r="W32" s="50"/>
      <c r="X32" s="50">
        <f>[3]P029!$L$8</f>
        <v>0</v>
      </c>
      <c r="Y32" s="50">
        <f>[3]P029!$L$9</f>
        <v>0</v>
      </c>
      <c r="Z32" s="50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2">
        <f>SUM(Tabla63[[#This Row],[ENERO]:[DICIEMBRE]])</f>
        <v>0</v>
      </c>
      <c r="AI32" s="48" t="s">
        <v>51</v>
      </c>
      <c r="AJ32" s="47">
        <v>29</v>
      </c>
      <c r="AK32" s="177"/>
      <c r="AL32" s="170">
        <v>0</v>
      </c>
      <c r="AM32" s="170">
        <f>[1]P005!$B$6</f>
        <v>177600</v>
      </c>
      <c r="AN32" s="170">
        <v>0</v>
      </c>
      <c r="AO32" s="170">
        <v>0</v>
      </c>
      <c r="AP32" s="170">
        <v>0</v>
      </c>
      <c r="AQ32" s="50">
        <v>0</v>
      </c>
      <c r="AR32" s="50">
        <v>0</v>
      </c>
      <c r="AS32" s="50">
        <v>0</v>
      </c>
      <c r="AT32" s="50">
        <v>0</v>
      </c>
      <c r="AU32" s="50">
        <v>0</v>
      </c>
      <c r="AV32" s="50">
        <v>0</v>
      </c>
      <c r="AW32" s="50">
        <v>0</v>
      </c>
      <c r="AX32" s="45">
        <f>SUM(Tabla634[[#This Row],[ENERO]:[DICIEMBRE]])</f>
        <v>177600</v>
      </c>
    </row>
    <row r="33" spans="1:50" ht="15" hidden="1" customHeight="1">
      <c r="A33" s="37" t="s">
        <v>51</v>
      </c>
      <c r="B33" s="36">
        <v>30</v>
      </c>
      <c r="D33" s="76">
        <f>[1]P001!$K$5</f>
        <v>0</v>
      </c>
      <c r="E33" s="76">
        <f>[1]P001!$K$5</f>
        <v>0</v>
      </c>
      <c r="P33" s="42">
        <f>SUM(Tabla6[[#This Row],[ENERO]:[DICIEMBRE]])</f>
        <v>0</v>
      </c>
      <c r="R33" s="48" t="s">
        <v>51</v>
      </c>
      <c r="S33" s="47">
        <v>30</v>
      </c>
      <c r="T33" s="177"/>
      <c r="U33" s="50">
        <f>[3]P030!$L$5</f>
        <v>0</v>
      </c>
      <c r="V33" s="50"/>
      <c r="W33" s="50"/>
      <c r="X33" s="50">
        <f>[3]P030!$L$8</f>
        <v>0</v>
      </c>
      <c r="Y33" s="50">
        <f>[3]P030!$L$9</f>
        <v>0</v>
      </c>
      <c r="Z33" s="50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2">
        <f>SUM(Tabla63[[#This Row],[ENERO]:[DICIEMBRE]])</f>
        <v>0</v>
      </c>
      <c r="AI33" s="48" t="s">
        <v>51</v>
      </c>
      <c r="AJ33" s="47">
        <v>30</v>
      </c>
      <c r="AK33" s="177"/>
      <c r="AL33" s="170">
        <v>0</v>
      </c>
      <c r="AM33" s="170">
        <f>[1]P005!$B$6</f>
        <v>177600</v>
      </c>
      <c r="AN33" s="170">
        <v>0</v>
      </c>
      <c r="AO33" s="170">
        <v>0</v>
      </c>
      <c r="AP33" s="170">
        <v>0</v>
      </c>
      <c r="AQ33" s="50">
        <v>0</v>
      </c>
      <c r="AR33" s="50">
        <v>0</v>
      </c>
      <c r="AS33" s="50">
        <v>0</v>
      </c>
      <c r="AT33" s="50">
        <v>0</v>
      </c>
      <c r="AU33" s="50">
        <v>0</v>
      </c>
      <c r="AV33" s="50">
        <v>0</v>
      </c>
      <c r="AW33" s="50">
        <v>0</v>
      </c>
      <c r="AX33" s="45">
        <f>SUM(Tabla634[[#This Row],[ENERO]:[DICIEMBRE]])</f>
        <v>177600</v>
      </c>
    </row>
    <row r="34" spans="1:50">
      <c r="A34" s="37" t="s">
        <v>51</v>
      </c>
      <c r="B34" s="36">
        <v>31</v>
      </c>
      <c r="C34" s="177" t="s">
        <v>169</v>
      </c>
      <c r="D34" s="76">
        <f>[1]P031!$K$5</f>
        <v>0</v>
      </c>
      <c r="E34" s="76">
        <f>[1]P031!$K$6</f>
        <v>794200</v>
      </c>
      <c r="P34" s="42">
        <f>SUM(Tabla6[[#This Row],[ENERO]:[DICIEMBRE]])</f>
        <v>794200</v>
      </c>
      <c r="R34" s="48" t="s">
        <v>51</v>
      </c>
      <c r="S34" s="47">
        <v>31</v>
      </c>
      <c r="T34" s="177" t="s">
        <v>169</v>
      </c>
      <c r="U34" s="50">
        <f>[1]P031!$L$5</f>
        <v>2294100</v>
      </c>
      <c r="V34" s="50">
        <f>[1]P031!$L$6</f>
        <v>1499900</v>
      </c>
      <c r="W34" s="50"/>
      <c r="X34" s="50">
        <v>0</v>
      </c>
      <c r="Y34" s="50">
        <v>0</v>
      </c>
      <c r="Z34" s="50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2">
        <f>SUM(Tabla63[[#This Row],[ENERO]:[DICIEMBRE]])</f>
        <v>3794000</v>
      </c>
      <c r="AI34" s="48" t="s">
        <v>51</v>
      </c>
      <c r="AJ34" s="47">
        <v>31</v>
      </c>
      <c r="AK34" s="177" t="s">
        <v>169</v>
      </c>
      <c r="AL34" s="170">
        <f>[2]P031!$B$5</f>
        <v>2294100</v>
      </c>
      <c r="AM34" s="170">
        <f>[1]P031!$B$6</f>
        <v>2294100</v>
      </c>
      <c r="AN34" s="170">
        <v>0</v>
      </c>
      <c r="AO34" s="170">
        <v>0</v>
      </c>
      <c r="AP34" s="17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45">
        <f>SUM(Tabla634[[#This Row],[ENERO]:[DICIEMBRE]])</f>
        <v>4588200</v>
      </c>
    </row>
    <row r="35" spans="1:50" ht="15" hidden="1" customHeight="1">
      <c r="A35" s="37" t="s">
        <v>51</v>
      </c>
      <c r="B35" s="36">
        <v>32</v>
      </c>
      <c r="D35" s="76">
        <f>[1]P001!$K$5</f>
        <v>0</v>
      </c>
      <c r="E35" s="76">
        <f>[1]P001!$K$5</f>
        <v>0</v>
      </c>
      <c r="P35" s="42">
        <f>SUM(Tabla6[[#This Row],[ENERO]:[DICIEMBRE]])</f>
        <v>0</v>
      </c>
      <c r="R35" s="48" t="s">
        <v>51</v>
      </c>
      <c r="S35" s="47">
        <v>32</v>
      </c>
      <c r="T35" s="177"/>
      <c r="U35" s="50">
        <f>[3]P032!$L$5</f>
        <v>0</v>
      </c>
      <c r="V35" s="50">
        <f>[3]P032!$L$5</f>
        <v>0</v>
      </c>
      <c r="W35" s="50"/>
      <c r="X35" s="50">
        <f>[3]P032!$L$8</f>
        <v>0</v>
      </c>
      <c r="Y35" s="50">
        <f>[3]P032!$L$9</f>
        <v>0</v>
      </c>
      <c r="Z35" s="50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2">
        <f>SUM(Tabla63[[#This Row],[ENERO]:[DICIEMBRE]])</f>
        <v>0</v>
      </c>
      <c r="AI35" s="48" t="s">
        <v>51</v>
      </c>
      <c r="AJ35" s="47">
        <v>32</v>
      </c>
      <c r="AK35" s="177"/>
      <c r="AL35" s="170">
        <v>0</v>
      </c>
      <c r="AM35" s="170">
        <f>[1]P005!$B$6</f>
        <v>177600</v>
      </c>
      <c r="AN35" s="170">
        <v>0</v>
      </c>
      <c r="AO35" s="170">
        <v>0</v>
      </c>
      <c r="AP35" s="170">
        <v>0</v>
      </c>
      <c r="AQ35" s="50">
        <v>0</v>
      </c>
      <c r="AR35" s="50">
        <v>0</v>
      </c>
      <c r="AS35" s="50">
        <v>0</v>
      </c>
      <c r="AT35" s="50">
        <v>0</v>
      </c>
      <c r="AU35" s="50">
        <v>0</v>
      </c>
      <c r="AV35" s="50">
        <v>0</v>
      </c>
      <c r="AW35" s="50">
        <v>0</v>
      </c>
      <c r="AX35" s="45">
        <f>SUM(Tabla634[[#This Row],[ENERO]:[DICIEMBRE]])</f>
        <v>177600</v>
      </c>
    </row>
    <row r="36" spans="1:50" ht="15" hidden="1" customHeight="1">
      <c r="A36" s="37" t="s">
        <v>51</v>
      </c>
      <c r="B36" s="36">
        <v>33</v>
      </c>
      <c r="D36" s="76">
        <f>[1]P001!$K$5</f>
        <v>0</v>
      </c>
      <c r="E36" s="76">
        <f>[1]P001!$K$5</f>
        <v>0</v>
      </c>
      <c r="P36" s="42">
        <f>SUM(Tabla6[[#This Row],[ENERO]:[DICIEMBRE]])</f>
        <v>0</v>
      </c>
      <c r="R36" s="48" t="s">
        <v>51</v>
      </c>
      <c r="S36" s="47">
        <v>33</v>
      </c>
      <c r="T36" s="177"/>
      <c r="U36" s="50">
        <f>[3]P033!$L$5</f>
        <v>0</v>
      </c>
      <c r="V36" s="50">
        <f>[3]P033!$L$5</f>
        <v>0</v>
      </c>
      <c r="W36" s="50"/>
      <c r="X36" s="50">
        <f>[3]P033!$L$8</f>
        <v>0</v>
      </c>
      <c r="Y36" s="50">
        <f>[3]P033!$L$9</f>
        <v>0</v>
      </c>
      <c r="Z36" s="50">
        <v>0</v>
      </c>
      <c r="AA36" s="53">
        <v>0</v>
      </c>
      <c r="AB36" s="53">
        <v>0</v>
      </c>
      <c r="AC36" s="53">
        <v>0</v>
      </c>
      <c r="AD36" s="53">
        <v>0</v>
      </c>
      <c r="AE36" s="53">
        <v>0</v>
      </c>
      <c r="AF36" s="53">
        <v>0</v>
      </c>
      <c r="AG36" s="52">
        <f>SUM(Tabla63[[#This Row],[ENERO]:[DICIEMBRE]])</f>
        <v>0</v>
      </c>
      <c r="AI36" s="48" t="s">
        <v>51</v>
      </c>
      <c r="AJ36" s="47">
        <v>33</v>
      </c>
      <c r="AK36" s="177"/>
      <c r="AL36" s="170">
        <v>0</v>
      </c>
      <c r="AM36" s="170">
        <f>[1]P005!$B$6</f>
        <v>177600</v>
      </c>
      <c r="AN36" s="170">
        <v>0</v>
      </c>
      <c r="AO36" s="170">
        <v>0</v>
      </c>
      <c r="AP36" s="170">
        <v>0</v>
      </c>
      <c r="AQ36" s="50">
        <v>0</v>
      </c>
      <c r="AR36" s="50">
        <v>0</v>
      </c>
      <c r="AS36" s="50">
        <v>0</v>
      </c>
      <c r="AT36" s="50">
        <v>0</v>
      </c>
      <c r="AU36" s="50">
        <v>0</v>
      </c>
      <c r="AV36" s="50">
        <v>0</v>
      </c>
      <c r="AW36" s="50">
        <v>0</v>
      </c>
      <c r="AX36" s="45">
        <f>SUM(Tabla634[[#This Row],[ENERO]:[DICIEMBRE]])</f>
        <v>177600</v>
      </c>
    </row>
    <row r="37" spans="1:50" ht="15" hidden="1" customHeight="1">
      <c r="A37" s="37" t="s">
        <v>51</v>
      </c>
      <c r="B37" s="36">
        <v>34</v>
      </c>
      <c r="D37" s="76">
        <f>[1]P001!$K$5</f>
        <v>0</v>
      </c>
      <c r="E37" s="76">
        <f>[1]P001!$K$5</f>
        <v>0</v>
      </c>
      <c r="P37" s="42">
        <f>SUM(Tabla6[[#This Row],[ENERO]:[DICIEMBRE]])</f>
        <v>0</v>
      </c>
      <c r="R37" s="48" t="s">
        <v>51</v>
      </c>
      <c r="S37" s="47">
        <v>34</v>
      </c>
      <c r="T37" s="177"/>
      <c r="U37" s="50">
        <f>[3]P034!$L$5</f>
        <v>0</v>
      </c>
      <c r="V37" s="50">
        <f>[3]P034!$L$5</f>
        <v>0</v>
      </c>
      <c r="W37" s="50"/>
      <c r="X37" s="50">
        <f>[3]P034!$L$8</f>
        <v>0</v>
      </c>
      <c r="Y37" s="50">
        <f>[3]P034!$L$9</f>
        <v>0</v>
      </c>
      <c r="Z37" s="50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2">
        <f>SUM(Tabla63[[#This Row],[ENERO]:[DICIEMBRE]])</f>
        <v>0</v>
      </c>
      <c r="AI37" s="48" t="s">
        <v>51</v>
      </c>
      <c r="AJ37" s="47">
        <v>34</v>
      </c>
      <c r="AK37" s="177"/>
      <c r="AL37" s="170">
        <v>0</v>
      </c>
      <c r="AM37" s="170">
        <f>[1]P005!$B$6</f>
        <v>177600</v>
      </c>
      <c r="AN37" s="170">
        <v>0</v>
      </c>
      <c r="AO37" s="170">
        <v>0</v>
      </c>
      <c r="AP37" s="17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45">
        <f>SUM(Tabla634[[#This Row],[ENERO]:[DICIEMBRE]])</f>
        <v>177600</v>
      </c>
    </row>
    <row r="38" spans="1:50" hidden="1">
      <c r="A38" s="37" t="s">
        <v>51</v>
      </c>
      <c r="B38" s="36">
        <v>35</v>
      </c>
      <c r="C38" s="177" t="s">
        <v>141</v>
      </c>
      <c r="D38" s="76">
        <f>[1]P001!$K$5</f>
        <v>0</v>
      </c>
      <c r="E38" s="76">
        <f>[1]P001!$K$5</f>
        <v>0</v>
      </c>
      <c r="P38" s="42">
        <f>SUM(Tabla6[[#This Row],[ENERO]:[DICIEMBRE]])</f>
        <v>0</v>
      </c>
      <c r="R38" s="48" t="s">
        <v>51</v>
      </c>
      <c r="S38" s="47">
        <v>35</v>
      </c>
      <c r="T38" s="177" t="s">
        <v>141</v>
      </c>
      <c r="U38" s="50">
        <f>[3]P035!$L$5</f>
        <v>279300</v>
      </c>
      <c r="V38" s="50">
        <f>[3]P035!$L$5</f>
        <v>279300</v>
      </c>
      <c r="W38" s="50"/>
      <c r="X38" s="50">
        <f>[3]P035!$L$8</f>
        <v>425000</v>
      </c>
      <c r="Y38" s="50">
        <f>[3]P035!$L$9</f>
        <v>276000</v>
      </c>
      <c r="Z38" s="50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2">
        <f>SUM(Tabla63[[#This Row],[ENERO]:[DICIEMBRE]])</f>
        <v>1259600</v>
      </c>
      <c r="AI38" s="48" t="s">
        <v>51</v>
      </c>
      <c r="AJ38" s="47">
        <v>35</v>
      </c>
      <c r="AK38" s="177" t="s">
        <v>141</v>
      </c>
      <c r="AL38" s="170">
        <v>0</v>
      </c>
      <c r="AM38" s="170">
        <f>[1]P005!$B$6</f>
        <v>177600</v>
      </c>
      <c r="AN38" s="170">
        <v>0</v>
      </c>
      <c r="AO38" s="170">
        <v>0</v>
      </c>
      <c r="AP38" s="170">
        <v>0</v>
      </c>
      <c r="AQ38" s="50">
        <v>0</v>
      </c>
      <c r="AR38" s="50">
        <v>0</v>
      </c>
      <c r="AS38" s="50">
        <v>0</v>
      </c>
      <c r="AT38" s="50">
        <v>0</v>
      </c>
      <c r="AU38" s="50">
        <v>0</v>
      </c>
      <c r="AV38" s="50">
        <v>0</v>
      </c>
      <c r="AW38" s="50">
        <v>0</v>
      </c>
      <c r="AX38" s="45">
        <f>SUM(Tabla634[[#This Row],[ENERO]:[DICIEMBRE]])</f>
        <v>177600</v>
      </c>
    </row>
    <row r="39" spans="1:50" ht="15.75" hidden="1" customHeight="1">
      <c r="A39" s="37" t="s">
        <v>51</v>
      </c>
      <c r="B39" s="36">
        <v>36</v>
      </c>
      <c r="C39" s="401" t="s">
        <v>225</v>
      </c>
      <c r="D39" s="76">
        <f>[1]PO37!$K$5</f>
        <v>177600</v>
      </c>
      <c r="E39" s="76">
        <f>[1]PO37!$K$6</f>
        <v>177600</v>
      </c>
      <c r="P39" s="42">
        <f>SUM(Tabla6[[#This Row],[ENERO]:[DICIEMBRE]])</f>
        <v>355200</v>
      </c>
      <c r="R39" s="48" t="s">
        <v>51</v>
      </c>
      <c r="S39" s="47">
        <v>36</v>
      </c>
      <c r="T39" s="402" t="s">
        <v>170</v>
      </c>
      <c r="U39" s="50">
        <f>[1]PO36!$L$5</f>
        <v>313000</v>
      </c>
      <c r="V39" s="50">
        <f>[1]PO36!$L$6</f>
        <v>0</v>
      </c>
      <c r="W39" s="50"/>
      <c r="X39" s="50">
        <v>0</v>
      </c>
      <c r="Y39" s="50">
        <v>0</v>
      </c>
      <c r="Z39" s="50">
        <v>0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2">
        <f>SUM(Tabla63[[#This Row],[ENERO]:[DICIEMBRE]])</f>
        <v>313000</v>
      </c>
      <c r="AI39" s="48" t="s">
        <v>51</v>
      </c>
      <c r="AJ39" s="47">
        <v>36</v>
      </c>
      <c r="AK39" s="406" t="s">
        <v>170</v>
      </c>
      <c r="AL39" s="170">
        <f>[2]PO36!$B$5</f>
        <v>355200</v>
      </c>
      <c r="AM39" s="170">
        <f>[1]P005!$B$6</f>
        <v>177600</v>
      </c>
      <c r="AN39" s="170">
        <v>0</v>
      </c>
      <c r="AO39" s="170">
        <v>0</v>
      </c>
      <c r="AP39" s="170">
        <v>0</v>
      </c>
      <c r="AQ39" s="50">
        <v>0</v>
      </c>
      <c r="AR39" s="50">
        <v>0</v>
      </c>
      <c r="AS39" s="50">
        <v>0</v>
      </c>
      <c r="AT39" s="50">
        <v>0</v>
      </c>
      <c r="AU39" s="50">
        <v>0</v>
      </c>
      <c r="AV39" s="50">
        <v>0</v>
      </c>
      <c r="AW39" s="50">
        <v>0</v>
      </c>
      <c r="AX39" s="45">
        <f>SUM(Tabla634[[#This Row],[ENERO]:[DICIEMBRE]])</f>
        <v>532800</v>
      </c>
    </row>
    <row r="40" spans="1:50">
      <c r="A40" s="37" t="s">
        <v>51</v>
      </c>
      <c r="B40" s="36">
        <v>37</v>
      </c>
      <c r="C40" s="177" t="s">
        <v>170</v>
      </c>
      <c r="D40" s="76">
        <f>[1]PO36!$K$5</f>
        <v>42200</v>
      </c>
      <c r="E40" s="76">
        <f>[1]PO36!$K$6</f>
        <v>355200</v>
      </c>
      <c r="P40" s="42">
        <f>SUM(Tabla6[[#This Row],[ENERO]:[DICIEMBRE]])</f>
        <v>397400</v>
      </c>
      <c r="R40" s="48" t="s">
        <v>51</v>
      </c>
      <c r="S40" s="47">
        <v>37</v>
      </c>
      <c r="T40" s="402" t="s">
        <v>228</v>
      </c>
      <c r="U40" s="50">
        <f>[1]PO37!$L$5</f>
        <v>0</v>
      </c>
      <c r="V40" s="50">
        <f>[1]PO37!$L$6</f>
        <v>0</v>
      </c>
      <c r="W40" s="50"/>
      <c r="X40" s="50">
        <v>0</v>
      </c>
      <c r="Y40" s="50">
        <v>0</v>
      </c>
      <c r="Z40" s="50">
        <v>0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2">
        <f>SUM(Tabla63[[#This Row],[ENERO]:[DICIEMBRE]])</f>
        <v>0</v>
      </c>
      <c r="AI40" s="48" t="s">
        <v>51</v>
      </c>
      <c r="AJ40" s="47">
        <v>37</v>
      </c>
      <c r="AK40" s="406" t="s">
        <v>225</v>
      </c>
      <c r="AL40" s="170">
        <f>[2]PO37!$B$5</f>
        <v>177600</v>
      </c>
      <c r="AM40" s="170">
        <f>[1]PO37!$B$6</f>
        <v>177600</v>
      </c>
      <c r="AN40" s="170">
        <v>0</v>
      </c>
      <c r="AO40" s="170">
        <v>0</v>
      </c>
      <c r="AP40" s="17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45">
        <f>SUM(Tabla634[[#This Row],[ENERO]:[DICIEMBRE]])</f>
        <v>355200</v>
      </c>
    </row>
    <row r="41" spans="1:50" ht="15" hidden="1" customHeight="1">
      <c r="A41" s="37" t="s">
        <v>51</v>
      </c>
      <c r="B41" s="36">
        <v>38</v>
      </c>
      <c r="D41" s="76">
        <f>[1]P001!$K$5</f>
        <v>0</v>
      </c>
      <c r="E41" s="76">
        <f>[1]P001!$K$5</f>
        <v>0</v>
      </c>
      <c r="P41" s="42">
        <f>SUM(Tabla6[[#This Row],[ENERO]:[DICIEMBRE]])</f>
        <v>0</v>
      </c>
      <c r="R41" s="48" t="s">
        <v>51</v>
      </c>
      <c r="S41" s="47">
        <v>38</v>
      </c>
      <c r="T41" s="177"/>
      <c r="U41" s="50">
        <f>[3]P038!$L$5</f>
        <v>0</v>
      </c>
      <c r="V41" s="50">
        <f>[3]P038!$L$5</f>
        <v>0</v>
      </c>
      <c r="W41" s="50"/>
      <c r="X41" s="50">
        <f>[3]P038!$L$8</f>
        <v>0</v>
      </c>
      <c r="Y41" s="50">
        <f>[3]P038!$L$9</f>
        <v>0</v>
      </c>
      <c r="Z41" s="50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0</v>
      </c>
      <c r="AF41" s="53">
        <v>0</v>
      </c>
      <c r="AG41" s="52">
        <f>SUM(Tabla63[[#This Row],[ENERO]:[DICIEMBRE]])</f>
        <v>0</v>
      </c>
      <c r="AI41" s="48" t="s">
        <v>51</v>
      </c>
      <c r="AJ41" s="47">
        <v>38</v>
      </c>
      <c r="AK41" s="177"/>
      <c r="AL41" s="170">
        <v>0</v>
      </c>
      <c r="AM41" s="170">
        <f>[1]P005!$B$6</f>
        <v>177600</v>
      </c>
      <c r="AN41" s="170">
        <v>0</v>
      </c>
      <c r="AO41" s="170">
        <v>0</v>
      </c>
      <c r="AP41" s="170">
        <v>0</v>
      </c>
      <c r="AQ41" s="50">
        <v>0</v>
      </c>
      <c r="AR41" s="50">
        <v>0</v>
      </c>
      <c r="AS41" s="50">
        <v>0</v>
      </c>
      <c r="AT41" s="50">
        <v>0</v>
      </c>
      <c r="AU41" s="50">
        <v>0</v>
      </c>
      <c r="AV41" s="50">
        <v>0</v>
      </c>
      <c r="AW41" s="50">
        <v>0</v>
      </c>
      <c r="AX41" s="45">
        <f>SUM(Tabla634[[#This Row],[ENERO]:[DICIEMBRE]])</f>
        <v>177600</v>
      </c>
    </row>
    <row r="42" spans="1:50">
      <c r="A42" s="37" t="s">
        <v>51</v>
      </c>
      <c r="B42" s="36">
        <v>39</v>
      </c>
      <c r="C42" s="177" t="s">
        <v>131</v>
      </c>
      <c r="D42" s="76">
        <f>[1]P039!$K$5</f>
        <v>1421200</v>
      </c>
      <c r="E42" s="76">
        <f>[1]P039!$K$6</f>
        <v>1421200</v>
      </c>
      <c r="P42" s="42">
        <f>SUM(Tabla6[[#This Row],[ENERO]:[DICIEMBRE]])</f>
        <v>2842400</v>
      </c>
      <c r="R42" s="48" t="s">
        <v>51</v>
      </c>
      <c r="S42" s="47">
        <v>39</v>
      </c>
      <c r="T42" s="177" t="s">
        <v>131</v>
      </c>
      <c r="U42" s="50">
        <f>[1]P039!$L$5</f>
        <v>0</v>
      </c>
      <c r="V42" s="50">
        <f>[1]P039!$L$6</f>
        <v>0</v>
      </c>
      <c r="W42" s="50"/>
      <c r="X42" s="50">
        <v>0</v>
      </c>
      <c r="Y42" s="50">
        <v>0</v>
      </c>
      <c r="Z42" s="50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2">
        <f>SUM(Tabla63[[#This Row],[ENERO]:[DICIEMBRE]])</f>
        <v>0</v>
      </c>
      <c r="AI42" s="48" t="s">
        <v>51</v>
      </c>
      <c r="AJ42" s="47">
        <v>39</v>
      </c>
      <c r="AK42" s="177" t="s">
        <v>131</v>
      </c>
      <c r="AL42" s="170">
        <f>[2]P039!$B$5</f>
        <v>1421200</v>
      </c>
      <c r="AM42" s="170">
        <f>[1]P039!$B$6</f>
        <v>1421200</v>
      </c>
      <c r="AN42" s="170">
        <v>0</v>
      </c>
      <c r="AO42" s="170">
        <v>0</v>
      </c>
      <c r="AP42" s="170">
        <v>0</v>
      </c>
      <c r="AQ42" s="50">
        <v>0</v>
      </c>
      <c r="AR42" s="50">
        <v>0</v>
      </c>
      <c r="AS42" s="50">
        <v>0</v>
      </c>
      <c r="AT42" s="50">
        <v>0</v>
      </c>
      <c r="AU42" s="50">
        <v>0</v>
      </c>
      <c r="AV42" s="50">
        <v>0</v>
      </c>
      <c r="AW42" s="50">
        <v>0</v>
      </c>
      <c r="AX42" s="45">
        <f>SUM(Tabla634[[#This Row],[ENERO]:[DICIEMBRE]])</f>
        <v>2842400</v>
      </c>
    </row>
    <row r="43" spans="1:50" ht="15" hidden="1" customHeight="1">
      <c r="A43" s="37" t="s">
        <v>51</v>
      </c>
      <c r="B43" s="36">
        <v>40</v>
      </c>
      <c r="D43" s="76">
        <f>[1]P001!$K$5</f>
        <v>0</v>
      </c>
      <c r="E43" s="76">
        <f>[1]P001!$K$5</f>
        <v>0</v>
      </c>
      <c r="P43" s="42">
        <f>SUM(Tabla6[[#This Row],[ENERO]:[DICIEMBRE]])</f>
        <v>0</v>
      </c>
      <c r="R43" s="48" t="s">
        <v>51</v>
      </c>
      <c r="S43" s="47">
        <v>40</v>
      </c>
      <c r="T43" s="177"/>
      <c r="U43" s="50">
        <f>[3]P040!$L$5</f>
        <v>0</v>
      </c>
      <c r="V43" s="50">
        <f>[3]P040!$L$5</f>
        <v>0</v>
      </c>
      <c r="W43" s="50"/>
      <c r="X43" s="50">
        <f>[3]P040!$L$8</f>
        <v>0</v>
      </c>
      <c r="Y43" s="50">
        <f>[3]P040!$L$9</f>
        <v>0</v>
      </c>
      <c r="Z43" s="50">
        <v>0</v>
      </c>
      <c r="AA43" s="53">
        <v>0</v>
      </c>
      <c r="AB43" s="53">
        <v>0</v>
      </c>
      <c r="AC43" s="53">
        <v>0</v>
      </c>
      <c r="AD43" s="53">
        <v>0</v>
      </c>
      <c r="AE43" s="53">
        <v>0</v>
      </c>
      <c r="AF43" s="53">
        <v>0</v>
      </c>
      <c r="AG43" s="52">
        <f>SUM(Tabla63[[#This Row],[ENERO]:[DICIEMBRE]])</f>
        <v>0</v>
      </c>
      <c r="AI43" s="48" t="s">
        <v>51</v>
      </c>
      <c r="AJ43" s="47">
        <v>40</v>
      </c>
      <c r="AK43" s="177"/>
      <c r="AL43" s="170">
        <v>0</v>
      </c>
      <c r="AM43" s="170">
        <f>[1]P005!$B$6</f>
        <v>177600</v>
      </c>
      <c r="AN43" s="170">
        <v>0</v>
      </c>
      <c r="AO43" s="170">
        <v>0</v>
      </c>
      <c r="AP43" s="17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45">
        <f>SUM(Tabla634[[#This Row],[ENERO]:[DICIEMBRE]])</f>
        <v>177600</v>
      </c>
    </row>
    <row r="44" spans="1:50" ht="15" hidden="1" customHeight="1">
      <c r="A44" s="37" t="s">
        <v>51</v>
      </c>
      <c r="B44" s="36">
        <v>41</v>
      </c>
      <c r="D44" s="76">
        <f>[1]P001!$K$5</f>
        <v>0</v>
      </c>
      <c r="E44" s="76">
        <f>[1]P001!$K$5</f>
        <v>0</v>
      </c>
      <c r="P44" s="42">
        <f>SUM(Tabla6[[#This Row],[ENERO]:[DICIEMBRE]])</f>
        <v>0</v>
      </c>
      <c r="R44" s="48" t="s">
        <v>51</v>
      </c>
      <c r="S44" s="47">
        <v>41</v>
      </c>
      <c r="T44" s="177"/>
      <c r="U44" s="50">
        <f>[3]P041!$L$5</f>
        <v>0</v>
      </c>
      <c r="V44" s="50">
        <f>[3]P041!$L$5</f>
        <v>0</v>
      </c>
      <c r="W44" s="50"/>
      <c r="X44" s="50">
        <f>[3]P041!$L$8</f>
        <v>0</v>
      </c>
      <c r="Y44" s="50">
        <f>[3]P041!$L$9</f>
        <v>0</v>
      </c>
      <c r="Z44" s="50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2">
        <f>SUM(Tabla63[[#This Row],[ENERO]:[DICIEMBRE]])</f>
        <v>0</v>
      </c>
      <c r="AI44" s="48" t="s">
        <v>51</v>
      </c>
      <c r="AJ44" s="47">
        <v>41</v>
      </c>
      <c r="AK44" s="177"/>
      <c r="AL44" s="170">
        <v>0</v>
      </c>
      <c r="AM44" s="170">
        <f>[1]P005!$B$6</f>
        <v>177600</v>
      </c>
      <c r="AN44" s="170">
        <v>0</v>
      </c>
      <c r="AO44" s="170">
        <v>0</v>
      </c>
      <c r="AP44" s="170">
        <v>0</v>
      </c>
      <c r="AQ44" s="50">
        <v>0</v>
      </c>
      <c r="AR44" s="50">
        <v>0</v>
      </c>
      <c r="AS44" s="50">
        <v>0</v>
      </c>
      <c r="AT44" s="50">
        <v>0</v>
      </c>
      <c r="AU44" s="50">
        <v>0</v>
      </c>
      <c r="AV44" s="50">
        <v>0</v>
      </c>
      <c r="AW44" s="50">
        <v>0</v>
      </c>
      <c r="AX44" s="45">
        <f>SUM(Tabla634[[#This Row],[ENERO]:[DICIEMBRE]])</f>
        <v>177600</v>
      </c>
    </row>
    <row r="45" spans="1:50" ht="15" hidden="1" customHeight="1">
      <c r="A45" s="37" t="s">
        <v>51</v>
      </c>
      <c r="B45" s="36">
        <v>42</v>
      </c>
      <c r="D45" s="76">
        <f>[1]P001!$K$5</f>
        <v>0</v>
      </c>
      <c r="E45" s="76">
        <f>[1]P001!$K$5</f>
        <v>0</v>
      </c>
      <c r="P45" s="42">
        <f>SUM(Tabla6[[#This Row],[ENERO]:[DICIEMBRE]])</f>
        <v>0</v>
      </c>
      <c r="R45" s="48" t="s">
        <v>51</v>
      </c>
      <c r="S45" s="47">
        <v>42</v>
      </c>
      <c r="T45" s="177"/>
      <c r="U45" s="50">
        <f>[3]P042!$L$5</f>
        <v>0</v>
      </c>
      <c r="V45" s="50">
        <f>[3]P042!$L$5</f>
        <v>0</v>
      </c>
      <c r="W45" s="50"/>
      <c r="X45" s="50">
        <f>[3]P042!$L$8</f>
        <v>0</v>
      </c>
      <c r="Y45" s="50">
        <f>[3]P042!$L$9</f>
        <v>0</v>
      </c>
      <c r="Z45" s="50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0</v>
      </c>
      <c r="AF45" s="53">
        <v>0</v>
      </c>
      <c r="AG45" s="52">
        <f>SUM(Tabla63[[#This Row],[ENERO]:[DICIEMBRE]])</f>
        <v>0</v>
      </c>
      <c r="AI45" s="48" t="s">
        <v>51</v>
      </c>
      <c r="AJ45" s="47">
        <v>42</v>
      </c>
      <c r="AK45" s="177"/>
      <c r="AL45" s="170">
        <v>0</v>
      </c>
      <c r="AM45" s="170">
        <f>[1]P005!$B$6</f>
        <v>177600</v>
      </c>
      <c r="AN45" s="170">
        <v>0</v>
      </c>
      <c r="AO45" s="170">
        <v>0</v>
      </c>
      <c r="AP45" s="170">
        <v>0</v>
      </c>
      <c r="AQ45" s="50">
        <v>0</v>
      </c>
      <c r="AR45" s="50">
        <v>0</v>
      </c>
      <c r="AS45" s="50">
        <v>0</v>
      </c>
      <c r="AT45" s="50">
        <v>0</v>
      </c>
      <c r="AU45" s="50">
        <v>0</v>
      </c>
      <c r="AV45" s="50">
        <v>0</v>
      </c>
      <c r="AW45" s="50">
        <v>0</v>
      </c>
      <c r="AX45" s="45">
        <f>SUM(Tabla634[[#This Row],[ENERO]:[DICIEMBRE]])</f>
        <v>177600</v>
      </c>
    </row>
    <row r="46" spans="1:50" ht="15" hidden="1" customHeight="1">
      <c r="A46" s="37" t="s">
        <v>51</v>
      </c>
      <c r="B46" s="36">
        <v>43</v>
      </c>
      <c r="D46" s="76">
        <f>[1]P001!$K$5</f>
        <v>0</v>
      </c>
      <c r="E46" s="76">
        <f>[1]P001!$K$5</f>
        <v>0</v>
      </c>
      <c r="P46" s="42">
        <f>SUM(Tabla6[[#This Row],[ENERO]:[DICIEMBRE]])</f>
        <v>0</v>
      </c>
      <c r="R46" s="48" t="s">
        <v>51</v>
      </c>
      <c r="S46" s="47">
        <v>43</v>
      </c>
      <c r="T46" s="177"/>
      <c r="U46" s="50">
        <f>[3]P043!$L$5</f>
        <v>0</v>
      </c>
      <c r="V46" s="50">
        <f>[3]P043!$L$5</f>
        <v>0</v>
      </c>
      <c r="W46" s="50"/>
      <c r="X46" s="50">
        <f>[3]P043!$L$8</f>
        <v>0</v>
      </c>
      <c r="Y46" s="50">
        <f>[3]P043!$L$9</f>
        <v>0</v>
      </c>
      <c r="Z46" s="50">
        <v>0</v>
      </c>
      <c r="AA46" s="53">
        <v>0</v>
      </c>
      <c r="AB46" s="53">
        <v>0</v>
      </c>
      <c r="AC46" s="53">
        <v>0</v>
      </c>
      <c r="AD46" s="53">
        <v>0</v>
      </c>
      <c r="AE46" s="53">
        <v>0</v>
      </c>
      <c r="AF46" s="53">
        <v>0</v>
      </c>
      <c r="AG46" s="52">
        <f>SUM(Tabla63[[#This Row],[ENERO]:[DICIEMBRE]])</f>
        <v>0</v>
      </c>
      <c r="AI46" s="48" t="s">
        <v>51</v>
      </c>
      <c r="AJ46" s="47">
        <v>43</v>
      </c>
      <c r="AK46" s="177"/>
      <c r="AL46" s="170">
        <v>0</v>
      </c>
      <c r="AM46" s="170">
        <f>[1]P005!$B$6</f>
        <v>177600</v>
      </c>
      <c r="AN46" s="170">
        <v>0</v>
      </c>
      <c r="AO46" s="170">
        <v>0</v>
      </c>
      <c r="AP46" s="17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45">
        <f>SUM(Tabla634[[#This Row],[ENERO]:[DICIEMBRE]])</f>
        <v>177600</v>
      </c>
    </row>
    <row r="47" spans="1:50" hidden="1">
      <c r="A47" s="37" t="s">
        <v>51</v>
      </c>
      <c r="B47" s="36">
        <v>44</v>
      </c>
      <c r="C47" s="177" t="s">
        <v>142</v>
      </c>
      <c r="D47" s="76">
        <f>[1]P001!$K$5</f>
        <v>0</v>
      </c>
      <c r="E47" s="76">
        <f>[1]P001!$K$5</f>
        <v>0</v>
      </c>
      <c r="P47" s="42">
        <f>SUM(Tabla6[[#This Row],[ENERO]:[DICIEMBRE]])</f>
        <v>0</v>
      </c>
      <c r="R47" s="48" t="s">
        <v>51</v>
      </c>
      <c r="S47" s="47">
        <v>44</v>
      </c>
      <c r="T47" s="177" t="s">
        <v>142</v>
      </c>
      <c r="U47" s="50">
        <f>[3]P044!$L$5</f>
        <v>135800</v>
      </c>
      <c r="V47" s="50">
        <f>[3]P044!$L$5</f>
        <v>135800</v>
      </c>
      <c r="W47" s="50"/>
      <c r="X47" s="50">
        <f>[3]P044!$L$8</f>
        <v>146000</v>
      </c>
      <c r="Y47" s="50">
        <f>[3]P044!$L$9</f>
        <v>138000</v>
      </c>
      <c r="Z47" s="50">
        <v>0</v>
      </c>
      <c r="AA47" s="53">
        <v>0</v>
      </c>
      <c r="AB47" s="53">
        <v>0</v>
      </c>
      <c r="AC47" s="53">
        <v>0</v>
      </c>
      <c r="AD47" s="53">
        <v>0</v>
      </c>
      <c r="AE47" s="53">
        <v>0</v>
      </c>
      <c r="AF47" s="53">
        <v>0</v>
      </c>
      <c r="AG47" s="52">
        <f>SUM(Tabla63[[#This Row],[ENERO]:[DICIEMBRE]])</f>
        <v>555600</v>
      </c>
      <c r="AI47" s="48" t="s">
        <v>51</v>
      </c>
      <c r="AJ47" s="47">
        <v>44</v>
      </c>
      <c r="AK47" s="389" t="s">
        <v>183</v>
      </c>
      <c r="AL47" s="170">
        <v>0</v>
      </c>
      <c r="AM47" s="170">
        <f>[1]P005!$B$6</f>
        <v>177600</v>
      </c>
      <c r="AN47" s="170">
        <v>0</v>
      </c>
      <c r="AO47" s="170">
        <v>0</v>
      </c>
      <c r="AP47" s="170">
        <v>0</v>
      </c>
      <c r="AQ47" s="50">
        <v>0</v>
      </c>
      <c r="AR47" s="50">
        <v>0</v>
      </c>
      <c r="AS47" s="50">
        <v>0</v>
      </c>
      <c r="AT47" s="50">
        <v>0</v>
      </c>
      <c r="AU47" s="50">
        <v>0</v>
      </c>
      <c r="AV47" s="50">
        <v>0</v>
      </c>
      <c r="AW47" s="50">
        <v>0</v>
      </c>
      <c r="AX47" s="45">
        <f>SUM(Tabla634[[#This Row],[ENERO]:[DICIEMBRE]])</f>
        <v>177600</v>
      </c>
    </row>
    <row r="48" spans="1:50" hidden="1">
      <c r="A48" s="37" t="s">
        <v>51</v>
      </c>
      <c r="B48" s="36">
        <v>45</v>
      </c>
      <c r="D48" s="76">
        <f>[1]P001!$K$5</f>
        <v>0</v>
      </c>
      <c r="E48" s="76">
        <f>[1]P001!$K$5</f>
        <v>0</v>
      </c>
      <c r="P48" s="42">
        <f>SUM(Tabla6[[#This Row],[ENERO]:[DICIEMBRE]])</f>
        <v>0</v>
      </c>
      <c r="R48" s="48" t="s">
        <v>51</v>
      </c>
      <c r="S48" s="47">
        <v>45</v>
      </c>
      <c r="T48" s="177"/>
      <c r="U48" s="50">
        <f>[3]P045!$L$5</f>
        <v>0</v>
      </c>
      <c r="V48" s="50">
        <f>[3]P045!$L$5</f>
        <v>0</v>
      </c>
      <c r="W48" s="50"/>
      <c r="X48" s="50">
        <f>[3]P045!$L$8</f>
        <v>0</v>
      </c>
      <c r="Y48" s="50">
        <f>[3]P045!$L$9</f>
        <v>0</v>
      </c>
      <c r="Z48" s="50">
        <v>0</v>
      </c>
      <c r="AA48" s="53">
        <v>0</v>
      </c>
      <c r="AB48" s="53">
        <v>0</v>
      </c>
      <c r="AC48" s="53">
        <v>0</v>
      </c>
      <c r="AD48" s="53">
        <v>0</v>
      </c>
      <c r="AE48" s="53">
        <v>0</v>
      </c>
      <c r="AF48" s="53">
        <v>0</v>
      </c>
      <c r="AG48" s="52">
        <f>SUM(Tabla63[[#This Row],[ENERO]:[DICIEMBRE]])</f>
        <v>0</v>
      </c>
      <c r="AI48" s="48" t="s">
        <v>51</v>
      </c>
      <c r="AJ48" s="47">
        <v>45</v>
      </c>
      <c r="AK48" s="177"/>
      <c r="AL48" s="170">
        <v>0</v>
      </c>
      <c r="AM48" s="170">
        <f>[1]P005!$B$6</f>
        <v>177600</v>
      </c>
      <c r="AN48" s="170">
        <v>0</v>
      </c>
      <c r="AO48" s="170">
        <v>0</v>
      </c>
      <c r="AP48" s="170">
        <v>0</v>
      </c>
      <c r="AQ48" s="50">
        <v>0</v>
      </c>
      <c r="AR48" s="50">
        <v>0</v>
      </c>
      <c r="AS48" s="50">
        <v>0</v>
      </c>
      <c r="AT48" s="50">
        <v>0</v>
      </c>
      <c r="AU48" s="50">
        <v>0</v>
      </c>
      <c r="AV48" s="50">
        <v>0</v>
      </c>
      <c r="AW48" s="50">
        <v>0</v>
      </c>
      <c r="AX48" s="45">
        <f>SUM(Tabla634[[#This Row],[ENERO]:[DICIEMBRE]])</f>
        <v>177600</v>
      </c>
    </row>
    <row r="49" spans="1:50">
      <c r="A49" s="37" t="s">
        <v>51</v>
      </c>
      <c r="B49" s="36">
        <v>46</v>
      </c>
      <c r="C49" s="177" t="s">
        <v>143</v>
      </c>
      <c r="D49" s="76">
        <f>[1]P046!$K$5</f>
        <v>0</v>
      </c>
      <c r="E49" s="76">
        <f>[1]P046!$K$6</f>
        <v>535900</v>
      </c>
      <c r="P49" s="42">
        <f>SUM(Tabla6[[#This Row],[ENERO]:[DICIEMBRE]])</f>
        <v>535900</v>
      </c>
      <c r="R49" s="48" t="s">
        <v>51</v>
      </c>
      <c r="S49" s="47">
        <v>46</v>
      </c>
      <c r="T49" s="177" t="s">
        <v>143</v>
      </c>
      <c r="U49" s="50">
        <f>[1]P046!$L$5</f>
        <v>535900</v>
      </c>
      <c r="V49" s="50">
        <f>[1]P046!$L$6</f>
        <v>0</v>
      </c>
      <c r="W49" s="50"/>
      <c r="X49" s="50">
        <v>0</v>
      </c>
      <c r="Y49" s="50">
        <v>0</v>
      </c>
      <c r="Z49" s="50">
        <v>0</v>
      </c>
      <c r="AA49" s="53">
        <v>0</v>
      </c>
      <c r="AB49" s="53">
        <v>0</v>
      </c>
      <c r="AC49" s="53">
        <v>0</v>
      </c>
      <c r="AD49" s="53">
        <v>0</v>
      </c>
      <c r="AE49" s="53">
        <v>0</v>
      </c>
      <c r="AF49" s="53">
        <v>0</v>
      </c>
      <c r="AG49" s="52">
        <f>SUM(Tabla63[[#This Row],[ENERO]:[DICIEMBRE]])</f>
        <v>535900</v>
      </c>
      <c r="AI49" s="48" t="s">
        <v>51</v>
      </c>
      <c r="AJ49" s="47">
        <v>46</v>
      </c>
      <c r="AK49" s="177" t="s">
        <v>143</v>
      </c>
      <c r="AL49" s="170">
        <f>[2]P046!$B$5</f>
        <v>535900</v>
      </c>
      <c r="AM49" s="170">
        <f>[1]P046!$B$6</f>
        <v>535900</v>
      </c>
      <c r="AN49" s="170">
        <v>0</v>
      </c>
      <c r="AO49" s="170">
        <v>0</v>
      </c>
      <c r="AP49" s="17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45">
        <f>SUM(Tabla634[[#This Row],[ENERO]:[DICIEMBRE]])</f>
        <v>1071800</v>
      </c>
    </row>
    <row r="50" spans="1:50" hidden="1">
      <c r="A50" s="37" t="s">
        <v>51</v>
      </c>
      <c r="B50" s="36">
        <v>47</v>
      </c>
      <c r="D50" s="76">
        <f>[1]P001!$K$5</f>
        <v>0</v>
      </c>
      <c r="E50" s="76">
        <f>[1]P001!$K$5</f>
        <v>0</v>
      </c>
      <c r="P50" s="42">
        <f>SUM(Tabla6[[#This Row],[ENERO]:[DICIEMBRE]])</f>
        <v>0</v>
      </c>
      <c r="R50" s="48" t="s">
        <v>51</v>
      </c>
      <c r="S50" s="47">
        <v>47</v>
      </c>
      <c r="T50" s="177"/>
      <c r="U50" s="50">
        <f>[3]P047!$L$5</f>
        <v>0</v>
      </c>
      <c r="V50" s="50">
        <f>[3]P047!$L$5</f>
        <v>0</v>
      </c>
      <c r="W50" s="50"/>
      <c r="X50" s="50">
        <f>[3]P047!$L$8</f>
        <v>0</v>
      </c>
      <c r="Y50" s="50">
        <f>[3]P047!$L$9</f>
        <v>0</v>
      </c>
      <c r="Z50" s="50">
        <v>0</v>
      </c>
      <c r="AA50" s="53">
        <v>0</v>
      </c>
      <c r="AB50" s="53">
        <v>0</v>
      </c>
      <c r="AC50" s="53">
        <v>0</v>
      </c>
      <c r="AD50" s="53">
        <v>0</v>
      </c>
      <c r="AE50" s="53">
        <v>0</v>
      </c>
      <c r="AF50" s="53">
        <v>0</v>
      </c>
      <c r="AG50" s="52">
        <f>SUM(Tabla63[[#This Row],[ENERO]:[DICIEMBRE]])</f>
        <v>0</v>
      </c>
      <c r="AI50" s="48" t="s">
        <v>51</v>
      </c>
      <c r="AJ50" s="47">
        <v>47</v>
      </c>
      <c r="AK50" s="177"/>
      <c r="AL50" s="170">
        <v>0</v>
      </c>
      <c r="AM50" s="170">
        <f>[1]P005!$B$6</f>
        <v>177600</v>
      </c>
      <c r="AN50" s="170">
        <v>0</v>
      </c>
      <c r="AO50" s="170">
        <v>0</v>
      </c>
      <c r="AP50" s="170">
        <v>0</v>
      </c>
      <c r="AQ50" s="50">
        <v>0</v>
      </c>
      <c r="AR50" s="50">
        <v>0</v>
      </c>
      <c r="AS50" s="50">
        <v>0</v>
      </c>
      <c r="AT50" s="50">
        <v>0</v>
      </c>
      <c r="AU50" s="50">
        <v>0</v>
      </c>
      <c r="AV50" s="50">
        <v>0</v>
      </c>
      <c r="AW50" s="50">
        <v>0</v>
      </c>
      <c r="AX50" s="45">
        <f>SUM(Tabla634[[#This Row],[ENERO]:[DICIEMBRE]])</f>
        <v>177600</v>
      </c>
    </row>
    <row r="51" spans="1:50">
      <c r="A51" s="37" t="s">
        <v>51</v>
      </c>
      <c r="B51" s="36">
        <v>48</v>
      </c>
      <c r="C51" s="177" t="s">
        <v>144</v>
      </c>
      <c r="D51" s="76">
        <f>[1]P048!$K$5</f>
        <v>355200</v>
      </c>
      <c r="E51" s="76">
        <f>[1]P048!$K$6</f>
        <v>355200</v>
      </c>
      <c r="P51" s="42">
        <f>SUM(Tabla6[[#This Row],[ENERO]:[DICIEMBRE]])</f>
        <v>710400</v>
      </c>
      <c r="R51" s="48" t="s">
        <v>51</v>
      </c>
      <c r="S51" s="47">
        <v>48</v>
      </c>
      <c r="T51" s="177" t="s">
        <v>144</v>
      </c>
      <c r="U51" s="50">
        <f>[1]P048!$L$5</f>
        <v>0</v>
      </c>
      <c r="V51" s="50">
        <f>[1]P048!$L$6</f>
        <v>0</v>
      </c>
      <c r="W51" s="50"/>
      <c r="X51" s="50">
        <v>0</v>
      </c>
      <c r="Y51" s="50">
        <v>0</v>
      </c>
      <c r="Z51" s="50">
        <v>0</v>
      </c>
      <c r="AA51" s="53">
        <v>0</v>
      </c>
      <c r="AB51" s="53">
        <v>0</v>
      </c>
      <c r="AC51" s="53">
        <v>0</v>
      </c>
      <c r="AD51" s="53">
        <v>0</v>
      </c>
      <c r="AE51" s="53">
        <v>0</v>
      </c>
      <c r="AF51" s="53">
        <v>0</v>
      </c>
      <c r="AG51" s="52">
        <f>SUM(Tabla63[[#This Row],[ENERO]:[DICIEMBRE]])</f>
        <v>0</v>
      </c>
      <c r="AI51" s="48" t="s">
        <v>51</v>
      </c>
      <c r="AJ51" s="47">
        <v>48</v>
      </c>
      <c r="AK51" s="177" t="s">
        <v>144</v>
      </c>
      <c r="AL51" s="170">
        <f>[2]P048!$B$5</f>
        <v>355200</v>
      </c>
      <c r="AM51" s="170">
        <f>[1]P048!$B$6</f>
        <v>355200</v>
      </c>
      <c r="AN51" s="170">
        <v>0</v>
      </c>
      <c r="AO51" s="170">
        <v>0</v>
      </c>
      <c r="AP51" s="170">
        <v>0</v>
      </c>
      <c r="AQ51" s="50">
        <v>0</v>
      </c>
      <c r="AR51" s="50">
        <v>0</v>
      </c>
      <c r="AS51" s="50">
        <v>0</v>
      </c>
      <c r="AT51" s="50">
        <v>0</v>
      </c>
      <c r="AU51" s="50">
        <v>0</v>
      </c>
      <c r="AV51" s="50">
        <v>0</v>
      </c>
      <c r="AW51" s="50">
        <v>0</v>
      </c>
      <c r="AX51" s="45">
        <f>SUM(Tabla634[[#This Row],[ENERO]:[DICIEMBRE]])</f>
        <v>710400</v>
      </c>
    </row>
    <row r="52" spans="1:50" hidden="1">
      <c r="A52" s="37" t="s">
        <v>51</v>
      </c>
      <c r="B52" s="36">
        <v>49</v>
      </c>
      <c r="D52" s="76">
        <f>[1]P001!$K$5</f>
        <v>0</v>
      </c>
      <c r="E52" s="76">
        <f>[1]P001!$K$5</f>
        <v>0</v>
      </c>
      <c r="P52" s="42">
        <f>SUM(Tabla6[[#This Row],[ENERO]:[DICIEMBRE]])</f>
        <v>0</v>
      </c>
      <c r="R52" s="48" t="s">
        <v>51</v>
      </c>
      <c r="S52" s="47">
        <v>49</v>
      </c>
      <c r="T52" s="177"/>
      <c r="U52" s="50">
        <f>[3]P049!$L$5</f>
        <v>0</v>
      </c>
      <c r="V52" s="50">
        <f>[3]P049!$L$5</f>
        <v>0</v>
      </c>
      <c r="W52" s="50"/>
      <c r="X52" s="50">
        <f>[3]P049!$L$8</f>
        <v>0</v>
      </c>
      <c r="Y52" s="50">
        <f>[3]P049!$L$9</f>
        <v>0</v>
      </c>
      <c r="Z52" s="50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0</v>
      </c>
      <c r="AF52" s="53">
        <v>0</v>
      </c>
      <c r="AG52" s="52">
        <f>SUM(Tabla63[[#This Row],[ENERO]:[DICIEMBRE]])</f>
        <v>0</v>
      </c>
      <c r="AI52" s="48" t="s">
        <v>51</v>
      </c>
      <c r="AJ52" s="47">
        <v>49</v>
      </c>
      <c r="AK52" s="177"/>
      <c r="AL52" s="170">
        <v>0</v>
      </c>
      <c r="AM52" s="170">
        <f>[1]P005!$B$6</f>
        <v>177600</v>
      </c>
      <c r="AN52" s="170">
        <v>0</v>
      </c>
      <c r="AO52" s="170">
        <v>0</v>
      </c>
      <c r="AP52" s="17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45">
        <f>SUM(Tabla634[[#This Row],[ENERO]:[DICIEMBRE]])</f>
        <v>177600</v>
      </c>
    </row>
    <row r="53" spans="1:50" hidden="1">
      <c r="A53" s="37" t="s">
        <v>51</v>
      </c>
      <c r="B53" s="36">
        <v>50</v>
      </c>
      <c r="D53" s="76">
        <f>[1]P001!$K$5</f>
        <v>0</v>
      </c>
      <c r="E53" s="76">
        <f>[1]P001!$K$5</f>
        <v>0</v>
      </c>
      <c r="P53" s="42">
        <f>SUM(Tabla6[[#This Row],[ENERO]:[DICIEMBRE]])</f>
        <v>0</v>
      </c>
      <c r="R53" s="48" t="s">
        <v>51</v>
      </c>
      <c r="S53" s="47">
        <v>50</v>
      </c>
      <c r="T53" s="177"/>
      <c r="U53" s="50">
        <f>[3]P050!$L$5</f>
        <v>0</v>
      </c>
      <c r="V53" s="50">
        <f>[3]P050!$L$5</f>
        <v>0</v>
      </c>
      <c r="W53" s="50"/>
      <c r="X53" s="50">
        <f>[3]P050!$L$8</f>
        <v>0</v>
      </c>
      <c r="Y53" s="50">
        <f>[3]P050!$L$9</f>
        <v>0</v>
      </c>
      <c r="Z53" s="50">
        <v>0</v>
      </c>
      <c r="AA53" s="53">
        <v>0</v>
      </c>
      <c r="AB53" s="53">
        <v>0</v>
      </c>
      <c r="AC53" s="53">
        <v>0</v>
      </c>
      <c r="AD53" s="53">
        <v>0</v>
      </c>
      <c r="AE53" s="53">
        <v>0</v>
      </c>
      <c r="AF53" s="53">
        <v>0</v>
      </c>
      <c r="AG53" s="52">
        <f>SUM(Tabla63[[#This Row],[ENERO]:[DICIEMBRE]])</f>
        <v>0</v>
      </c>
      <c r="AI53" s="48" t="s">
        <v>51</v>
      </c>
      <c r="AJ53" s="47">
        <v>50</v>
      </c>
      <c r="AK53" s="177"/>
      <c r="AL53" s="170">
        <v>0</v>
      </c>
      <c r="AM53" s="170">
        <f>[1]P005!$B$6</f>
        <v>177600</v>
      </c>
      <c r="AN53" s="170">
        <v>0</v>
      </c>
      <c r="AO53" s="170">
        <v>0</v>
      </c>
      <c r="AP53" s="170">
        <v>0</v>
      </c>
      <c r="AQ53" s="50">
        <v>0</v>
      </c>
      <c r="AR53" s="50">
        <v>0</v>
      </c>
      <c r="AS53" s="50">
        <v>0</v>
      </c>
      <c r="AT53" s="50">
        <v>0</v>
      </c>
      <c r="AU53" s="50">
        <v>0</v>
      </c>
      <c r="AV53" s="50">
        <v>0</v>
      </c>
      <c r="AW53" s="50">
        <v>0</v>
      </c>
      <c r="AX53" s="45">
        <f>SUM(Tabla634[[#This Row],[ENERO]:[DICIEMBRE]])</f>
        <v>177600</v>
      </c>
    </row>
    <row r="54" spans="1:50" hidden="1">
      <c r="A54" s="37" t="s">
        <v>51</v>
      </c>
      <c r="B54" s="36">
        <v>51</v>
      </c>
      <c r="D54" s="76">
        <f>[1]P001!$K$5</f>
        <v>0</v>
      </c>
      <c r="E54" s="76">
        <f>[1]P001!$K$5</f>
        <v>0</v>
      </c>
      <c r="P54" s="42">
        <f>SUM(Tabla6[[#This Row],[ENERO]:[DICIEMBRE]])</f>
        <v>0</v>
      </c>
      <c r="R54" s="48" t="s">
        <v>51</v>
      </c>
      <c r="S54" s="47">
        <v>51</v>
      </c>
      <c r="T54" s="177"/>
      <c r="U54" s="50">
        <f>[3]P051!$L$5</f>
        <v>0</v>
      </c>
      <c r="V54" s="50">
        <f>[3]P051!$L$5</f>
        <v>0</v>
      </c>
      <c r="W54" s="50"/>
      <c r="X54" s="50">
        <f>[3]P051!$L$8</f>
        <v>0</v>
      </c>
      <c r="Y54" s="50">
        <f>[3]P051!$L$9</f>
        <v>0</v>
      </c>
      <c r="Z54" s="50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52">
        <f>SUM(Tabla63[[#This Row],[ENERO]:[DICIEMBRE]])</f>
        <v>0</v>
      </c>
      <c r="AI54" s="48" t="s">
        <v>51</v>
      </c>
      <c r="AJ54" s="47">
        <v>51</v>
      </c>
      <c r="AK54" s="177"/>
      <c r="AL54" s="170">
        <v>0</v>
      </c>
      <c r="AM54" s="170">
        <f>[1]P005!$B$6</f>
        <v>177600</v>
      </c>
      <c r="AN54" s="170">
        <v>0</v>
      </c>
      <c r="AO54" s="170">
        <v>0</v>
      </c>
      <c r="AP54" s="170">
        <v>0</v>
      </c>
      <c r="AQ54" s="50">
        <v>0</v>
      </c>
      <c r="AR54" s="50">
        <v>0</v>
      </c>
      <c r="AS54" s="50">
        <v>0</v>
      </c>
      <c r="AT54" s="50">
        <v>0</v>
      </c>
      <c r="AU54" s="50">
        <v>0</v>
      </c>
      <c r="AV54" s="50">
        <v>0</v>
      </c>
      <c r="AW54" s="50">
        <v>0</v>
      </c>
      <c r="AX54" s="45">
        <f>SUM(Tabla634[[#This Row],[ENERO]:[DICIEMBRE]])</f>
        <v>177600</v>
      </c>
    </row>
    <row r="55" spans="1:50" hidden="1">
      <c r="A55" s="37" t="s">
        <v>51</v>
      </c>
      <c r="B55" s="36">
        <v>52</v>
      </c>
      <c r="D55" s="76">
        <f>[1]P001!$K$5</f>
        <v>0</v>
      </c>
      <c r="E55" s="76">
        <f>[1]P001!$K$5</f>
        <v>0</v>
      </c>
      <c r="P55" s="42">
        <f>SUM(Tabla6[[#This Row],[ENERO]:[DICIEMBRE]])</f>
        <v>0</v>
      </c>
      <c r="R55" s="48" t="s">
        <v>51</v>
      </c>
      <c r="S55" s="47">
        <v>52</v>
      </c>
      <c r="T55" s="177"/>
      <c r="U55" s="50">
        <f>[3]P052!$L$5</f>
        <v>0</v>
      </c>
      <c r="V55" s="50">
        <f>[3]P052!$L$5</f>
        <v>0</v>
      </c>
      <c r="W55" s="50"/>
      <c r="X55" s="50">
        <f>[3]P052!$L$8</f>
        <v>0</v>
      </c>
      <c r="Y55" s="50">
        <f>[3]P052!$L$9</f>
        <v>0</v>
      </c>
      <c r="Z55" s="50">
        <v>0</v>
      </c>
      <c r="AA55" s="53">
        <v>0</v>
      </c>
      <c r="AB55" s="53">
        <v>0</v>
      </c>
      <c r="AC55" s="53">
        <v>0</v>
      </c>
      <c r="AD55" s="53">
        <v>0</v>
      </c>
      <c r="AE55" s="53">
        <v>0</v>
      </c>
      <c r="AF55" s="53">
        <v>0</v>
      </c>
      <c r="AG55" s="52">
        <f>SUM(Tabla63[[#This Row],[ENERO]:[DICIEMBRE]])</f>
        <v>0</v>
      </c>
      <c r="AI55" s="48" t="s">
        <v>51</v>
      </c>
      <c r="AJ55" s="47">
        <v>52</v>
      </c>
      <c r="AK55" s="177"/>
      <c r="AL55" s="170">
        <v>0</v>
      </c>
      <c r="AM55" s="170">
        <f>[1]P005!$B$6</f>
        <v>177600</v>
      </c>
      <c r="AN55" s="170">
        <v>0</v>
      </c>
      <c r="AO55" s="170">
        <v>0</v>
      </c>
      <c r="AP55" s="17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45">
        <f>SUM(Tabla634[[#This Row],[ENERO]:[DICIEMBRE]])</f>
        <v>177600</v>
      </c>
    </row>
    <row r="56" spans="1:50" hidden="1">
      <c r="A56" s="37" t="s">
        <v>51</v>
      </c>
      <c r="B56" s="36">
        <v>53</v>
      </c>
      <c r="C56" s="177" t="s">
        <v>145</v>
      </c>
      <c r="D56" s="76">
        <f>[1]P001!$K$5</f>
        <v>0</v>
      </c>
      <c r="E56" s="76">
        <f>[1]P001!$K$5</f>
        <v>0</v>
      </c>
      <c r="P56" s="42">
        <f>SUM(Tabla6[[#This Row],[ENERO]:[DICIEMBRE]])</f>
        <v>0</v>
      </c>
      <c r="R56" s="48" t="s">
        <v>51</v>
      </c>
      <c r="S56" s="47">
        <v>53</v>
      </c>
      <c r="T56" s="177" t="s">
        <v>145</v>
      </c>
      <c r="U56" s="50">
        <f>[3]P053!$L$5</f>
        <v>95200</v>
      </c>
      <c r="V56" s="50">
        <f>[3]P053!$L$5</f>
        <v>95200</v>
      </c>
      <c r="W56" s="50"/>
      <c r="X56" s="50">
        <f>[3]P053!$L$8</f>
        <v>0</v>
      </c>
      <c r="Y56" s="50">
        <f>[3]P053!$L$9</f>
        <v>0</v>
      </c>
      <c r="Z56" s="50">
        <v>0</v>
      </c>
      <c r="AA56" s="53">
        <v>0</v>
      </c>
      <c r="AB56" s="53">
        <v>0</v>
      </c>
      <c r="AC56" s="53">
        <v>0</v>
      </c>
      <c r="AD56" s="53">
        <v>0</v>
      </c>
      <c r="AE56" s="53">
        <v>0</v>
      </c>
      <c r="AF56" s="53">
        <v>0</v>
      </c>
      <c r="AG56" s="52">
        <f>SUM(Tabla63[[#This Row],[ENERO]:[DICIEMBRE]])</f>
        <v>190400</v>
      </c>
      <c r="AI56" s="48" t="s">
        <v>51</v>
      </c>
      <c r="AJ56" s="47">
        <v>53</v>
      </c>
      <c r="AK56" s="177" t="s">
        <v>145</v>
      </c>
      <c r="AL56" s="170">
        <v>0</v>
      </c>
      <c r="AM56" s="170">
        <f>[1]P005!$B$6</f>
        <v>177600</v>
      </c>
      <c r="AN56" s="170">
        <v>0</v>
      </c>
      <c r="AO56" s="170">
        <v>0</v>
      </c>
      <c r="AP56" s="17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45">
        <f>SUM(Tabla634[[#This Row],[ENERO]:[DICIEMBRE]])</f>
        <v>177600</v>
      </c>
    </row>
    <row r="57" spans="1:50" hidden="1">
      <c r="A57" s="37" t="s">
        <v>51</v>
      </c>
      <c r="B57" s="36">
        <v>54</v>
      </c>
      <c r="C57" s="177" t="s">
        <v>146</v>
      </c>
      <c r="D57" s="76">
        <f>[1]P001!$K$5</f>
        <v>0</v>
      </c>
      <c r="E57" s="76">
        <f>[1]P001!$K$5</f>
        <v>0</v>
      </c>
      <c r="P57" s="42">
        <f>SUM(Tabla6[[#This Row],[ENERO]:[DICIEMBRE]])</f>
        <v>0</v>
      </c>
      <c r="R57" s="48" t="s">
        <v>51</v>
      </c>
      <c r="S57" s="47">
        <v>54</v>
      </c>
      <c r="T57" s="177" t="s">
        <v>146</v>
      </c>
      <c r="U57" s="50">
        <f>[3]P054!$L$5</f>
        <v>47600</v>
      </c>
      <c r="V57" s="50">
        <f>[3]P054!$L$5</f>
        <v>47600</v>
      </c>
      <c r="W57" s="50"/>
      <c r="X57" s="50">
        <f>[3]P054!$L$8</f>
        <v>73000</v>
      </c>
      <c r="Y57" s="50">
        <f>[3]P054!$L$9</f>
        <v>69000</v>
      </c>
      <c r="Z57" s="50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2">
        <f>SUM(Tabla63[[#This Row],[ENERO]:[DICIEMBRE]])</f>
        <v>237200</v>
      </c>
      <c r="AI57" s="48" t="s">
        <v>51</v>
      </c>
      <c r="AJ57" s="47">
        <v>54</v>
      </c>
      <c r="AK57" s="177" t="s">
        <v>146</v>
      </c>
      <c r="AL57" s="170">
        <v>0</v>
      </c>
      <c r="AM57" s="170">
        <f>[1]P005!$B$6</f>
        <v>177600</v>
      </c>
      <c r="AN57" s="170">
        <v>0</v>
      </c>
      <c r="AO57" s="170">
        <v>0</v>
      </c>
      <c r="AP57" s="170">
        <v>0</v>
      </c>
      <c r="AQ57" s="50">
        <v>0</v>
      </c>
      <c r="AR57" s="50">
        <v>0</v>
      </c>
      <c r="AS57" s="50">
        <v>0</v>
      </c>
      <c r="AT57" s="50">
        <v>0</v>
      </c>
      <c r="AU57" s="50">
        <v>0</v>
      </c>
      <c r="AV57" s="50">
        <v>0</v>
      </c>
      <c r="AW57" s="50">
        <v>0</v>
      </c>
      <c r="AX57" s="45">
        <f>SUM(Tabla634[[#This Row],[ENERO]:[DICIEMBRE]])</f>
        <v>177600</v>
      </c>
    </row>
    <row r="58" spans="1:50">
      <c r="A58" s="37" t="s">
        <v>51</v>
      </c>
      <c r="B58" s="36">
        <v>55</v>
      </c>
      <c r="C58" s="177" t="s">
        <v>147</v>
      </c>
      <c r="D58" s="76">
        <f>[1]P054!$K$5</f>
        <v>0</v>
      </c>
      <c r="E58" s="76">
        <f>[1]P054!$K$6</f>
        <v>0</v>
      </c>
      <c r="P58" s="42">
        <f>SUM(Tabla6[[#This Row],[ENERO]:[DICIEMBRE]])</f>
        <v>0</v>
      </c>
      <c r="R58" s="48" t="s">
        <v>51</v>
      </c>
      <c r="S58" s="47">
        <v>55</v>
      </c>
      <c r="T58" s="177" t="s">
        <v>147</v>
      </c>
      <c r="U58" s="50">
        <f>[1]P054!$L$5</f>
        <v>355200</v>
      </c>
      <c r="V58" s="50">
        <f>[1]P054!$L$6</f>
        <v>355200</v>
      </c>
      <c r="W58" s="50"/>
      <c r="X58" s="50">
        <v>0</v>
      </c>
      <c r="Y58" s="50">
        <v>0</v>
      </c>
      <c r="Z58" s="50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52">
        <f>SUM(Tabla63[[#This Row],[ENERO]:[DICIEMBRE]])</f>
        <v>710400</v>
      </c>
      <c r="AI58" s="48" t="s">
        <v>51</v>
      </c>
      <c r="AJ58" s="47">
        <v>55</v>
      </c>
      <c r="AK58" s="177" t="s">
        <v>147</v>
      </c>
      <c r="AL58" s="170">
        <f>[2]P054!$B$5</f>
        <v>355200</v>
      </c>
      <c r="AM58" s="170">
        <f>[1]P054!$B$6</f>
        <v>355200</v>
      </c>
      <c r="AN58" s="170">
        <v>0</v>
      </c>
      <c r="AO58" s="170">
        <v>0</v>
      </c>
      <c r="AP58" s="17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45">
        <f>SUM(Tabla634[[#This Row],[ENERO]:[DICIEMBRE]])</f>
        <v>710400</v>
      </c>
    </row>
    <row r="59" spans="1:50" hidden="1">
      <c r="A59" s="37" t="s">
        <v>51</v>
      </c>
      <c r="B59" s="36">
        <v>56</v>
      </c>
      <c r="D59" s="76">
        <f>[1]P001!$K$5</f>
        <v>0</v>
      </c>
      <c r="E59" s="76">
        <f>[1]P001!$K$5</f>
        <v>0</v>
      </c>
      <c r="P59" s="42">
        <f>SUM(Tabla6[[#This Row],[ENERO]:[DICIEMBRE]])</f>
        <v>0</v>
      </c>
      <c r="R59" s="48" t="s">
        <v>51</v>
      </c>
      <c r="S59" s="47">
        <v>56</v>
      </c>
      <c r="T59" s="177"/>
      <c r="U59" s="50">
        <f>[3]P056!$L$5</f>
        <v>0</v>
      </c>
      <c r="V59" s="50">
        <f>[3]P056!$L$5</f>
        <v>0</v>
      </c>
      <c r="W59" s="50"/>
      <c r="X59" s="50">
        <f>[3]P056!$L$8</f>
        <v>0</v>
      </c>
      <c r="Y59" s="50">
        <f>[3]P056!$L$9</f>
        <v>0</v>
      </c>
      <c r="Z59" s="50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2">
        <f>SUM(Tabla63[[#This Row],[ENERO]:[DICIEMBRE]])</f>
        <v>0</v>
      </c>
      <c r="AI59" s="48" t="s">
        <v>51</v>
      </c>
      <c r="AJ59" s="47">
        <v>56</v>
      </c>
      <c r="AK59" s="177"/>
      <c r="AL59" s="170">
        <v>0</v>
      </c>
      <c r="AM59" s="170">
        <f>[1]P005!$B$6</f>
        <v>177600</v>
      </c>
      <c r="AN59" s="170">
        <v>0</v>
      </c>
      <c r="AO59" s="170">
        <v>0</v>
      </c>
      <c r="AP59" s="170">
        <v>0</v>
      </c>
      <c r="AQ59" s="50">
        <v>0</v>
      </c>
      <c r="AR59" s="50">
        <v>0</v>
      </c>
      <c r="AS59" s="50">
        <v>0</v>
      </c>
      <c r="AT59" s="50">
        <v>0</v>
      </c>
      <c r="AU59" s="50">
        <v>0</v>
      </c>
      <c r="AV59" s="50">
        <v>0</v>
      </c>
      <c r="AW59" s="50">
        <v>0</v>
      </c>
      <c r="AX59" s="45">
        <f>SUM(Tabla634[[#This Row],[ENERO]:[DICIEMBRE]])</f>
        <v>177600</v>
      </c>
    </row>
    <row r="60" spans="1:50" hidden="1">
      <c r="A60" s="37" t="s">
        <v>51</v>
      </c>
      <c r="B60" s="36">
        <v>57</v>
      </c>
      <c r="D60" s="76">
        <f>[1]P001!$K$5</f>
        <v>0</v>
      </c>
      <c r="E60" s="76">
        <f>[1]P001!$K$5</f>
        <v>0</v>
      </c>
      <c r="P60" s="42">
        <f>SUM(Tabla6[[#This Row],[ENERO]:[DICIEMBRE]])</f>
        <v>0</v>
      </c>
      <c r="R60" s="48" t="s">
        <v>51</v>
      </c>
      <c r="S60" s="47">
        <v>57</v>
      </c>
      <c r="T60" s="177"/>
      <c r="U60" s="50">
        <f>[3]P057!$L$5</f>
        <v>0</v>
      </c>
      <c r="V60" s="50">
        <f>[3]P057!$L$5</f>
        <v>0</v>
      </c>
      <c r="W60" s="50"/>
      <c r="X60" s="50">
        <f>[3]P057!$L$8</f>
        <v>0</v>
      </c>
      <c r="Y60" s="50">
        <f>[3]P057!$L$9</f>
        <v>0</v>
      </c>
      <c r="Z60" s="50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2">
        <f>SUM(Tabla63[[#This Row],[ENERO]:[DICIEMBRE]])</f>
        <v>0</v>
      </c>
      <c r="AI60" s="48" t="s">
        <v>51</v>
      </c>
      <c r="AJ60" s="47">
        <v>57</v>
      </c>
      <c r="AK60" s="177"/>
      <c r="AL60" s="170">
        <v>0</v>
      </c>
      <c r="AM60" s="170">
        <f>[1]P005!$B$6</f>
        <v>177600</v>
      </c>
      <c r="AN60" s="170">
        <v>0</v>
      </c>
      <c r="AO60" s="170">
        <v>0</v>
      </c>
      <c r="AP60" s="170">
        <v>0</v>
      </c>
      <c r="AQ60" s="50">
        <v>0</v>
      </c>
      <c r="AR60" s="50">
        <v>0</v>
      </c>
      <c r="AS60" s="50">
        <v>0</v>
      </c>
      <c r="AT60" s="50">
        <v>0</v>
      </c>
      <c r="AU60" s="50">
        <v>0</v>
      </c>
      <c r="AV60" s="50">
        <v>0</v>
      </c>
      <c r="AW60" s="50">
        <v>0</v>
      </c>
      <c r="AX60" s="45">
        <f>SUM(Tabla634[[#This Row],[ENERO]:[DICIEMBRE]])</f>
        <v>177600</v>
      </c>
    </row>
    <row r="61" spans="1:50" hidden="1">
      <c r="A61" s="37" t="s">
        <v>51</v>
      </c>
      <c r="B61" s="36">
        <v>58</v>
      </c>
      <c r="D61" s="76">
        <f>[1]P001!$K$5</f>
        <v>0</v>
      </c>
      <c r="E61" s="76">
        <f>[1]P001!$K$5</f>
        <v>0</v>
      </c>
      <c r="P61" s="42">
        <f>SUM(Tabla6[[#This Row],[ENERO]:[DICIEMBRE]])</f>
        <v>0</v>
      </c>
      <c r="R61" s="48" t="s">
        <v>51</v>
      </c>
      <c r="S61" s="47">
        <v>58</v>
      </c>
      <c r="T61" s="177"/>
      <c r="U61" s="50">
        <f>[3]P058!$L$5</f>
        <v>0</v>
      </c>
      <c r="V61" s="50">
        <f>[3]P058!$L$5</f>
        <v>0</v>
      </c>
      <c r="W61" s="50"/>
      <c r="X61" s="50">
        <f>[3]P058!$L$8</f>
        <v>0</v>
      </c>
      <c r="Y61" s="50">
        <f>[3]P058!$L$9</f>
        <v>0</v>
      </c>
      <c r="Z61" s="50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2">
        <f>SUM(Tabla63[[#This Row],[ENERO]:[DICIEMBRE]])</f>
        <v>0</v>
      </c>
      <c r="AI61" s="48" t="s">
        <v>51</v>
      </c>
      <c r="AJ61" s="47">
        <v>58</v>
      </c>
      <c r="AK61" s="177"/>
      <c r="AL61" s="170">
        <v>0</v>
      </c>
      <c r="AM61" s="170">
        <f>[1]P005!$B$6</f>
        <v>177600</v>
      </c>
      <c r="AN61" s="170">
        <v>0</v>
      </c>
      <c r="AO61" s="170">
        <v>0</v>
      </c>
      <c r="AP61" s="170">
        <v>0</v>
      </c>
      <c r="AQ61" s="50">
        <v>0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45">
        <f>SUM(Tabla634[[#This Row],[ENERO]:[DICIEMBRE]])</f>
        <v>177600</v>
      </c>
    </row>
    <row r="62" spans="1:50">
      <c r="A62" s="37" t="s">
        <v>51</v>
      </c>
      <c r="B62" s="36">
        <v>59</v>
      </c>
      <c r="C62" s="177" t="s">
        <v>148</v>
      </c>
      <c r="D62" s="76">
        <f>[1]P059!$K$5</f>
        <v>688100</v>
      </c>
      <c r="E62" s="76">
        <f>[1]P059!$K$6</f>
        <v>988100</v>
      </c>
      <c r="P62" s="42">
        <f>SUM(Tabla6[[#This Row],[ENERO]:[DICIEMBRE]])</f>
        <v>1676200</v>
      </c>
      <c r="R62" s="48" t="s">
        <v>51</v>
      </c>
      <c r="S62" s="47">
        <v>59</v>
      </c>
      <c r="T62" s="177" t="s">
        <v>148</v>
      </c>
      <c r="U62" s="50">
        <f>[1]P059!$L$5</f>
        <v>40500</v>
      </c>
      <c r="V62" s="50">
        <f>[1]P059!$L$6</f>
        <v>0</v>
      </c>
      <c r="W62" s="50"/>
      <c r="X62" s="50">
        <v>0</v>
      </c>
      <c r="Y62" s="50">
        <v>0</v>
      </c>
      <c r="Z62" s="50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0</v>
      </c>
      <c r="AF62" s="53">
        <v>0</v>
      </c>
      <c r="AG62" s="52">
        <f>SUM(Tabla63[[#This Row],[ENERO]:[DICIEMBRE]])</f>
        <v>40500</v>
      </c>
      <c r="AI62" s="48" t="s">
        <v>51</v>
      </c>
      <c r="AJ62" s="47">
        <v>59</v>
      </c>
      <c r="AK62" s="177" t="s">
        <v>148</v>
      </c>
      <c r="AL62" s="170">
        <f>[2]P059!$B$5</f>
        <v>988100</v>
      </c>
      <c r="AM62" s="170">
        <f>[1]P059!$B$6</f>
        <v>988100</v>
      </c>
      <c r="AN62" s="170">
        <v>0</v>
      </c>
      <c r="AO62" s="170">
        <v>0</v>
      </c>
      <c r="AP62" s="170">
        <v>0</v>
      </c>
      <c r="AQ62" s="50">
        <v>0</v>
      </c>
      <c r="AR62" s="50">
        <v>0</v>
      </c>
      <c r="AS62" s="50">
        <v>0</v>
      </c>
      <c r="AT62" s="50">
        <v>0</v>
      </c>
      <c r="AU62" s="50">
        <v>0</v>
      </c>
      <c r="AV62" s="50">
        <v>0</v>
      </c>
      <c r="AW62" s="50">
        <v>0</v>
      </c>
      <c r="AX62" s="45">
        <f>SUM(Tabla634[[#This Row],[ENERO]:[DICIEMBRE]])</f>
        <v>1976200</v>
      </c>
    </row>
    <row r="63" spans="1:50" ht="14.25" hidden="1" customHeight="1">
      <c r="A63" s="37" t="s">
        <v>51</v>
      </c>
      <c r="B63" s="36">
        <v>60</v>
      </c>
      <c r="D63" s="76">
        <f>[1]P001!$K$5</f>
        <v>0</v>
      </c>
      <c r="E63" s="76">
        <f>[1]P001!$K$5</f>
        <v>0</v>
      </c>
      <c r="P63" s="42">
        <f>SUM(Tabla6[[#This Row],[ENERO]:[DICIEMBRE]])</f>
        <v>0</v>
      </c>
      <c r="R63" s="48" t="s">
        <v>51</v>
      </c>
      <c r="S63" s="47">
        <v>60</v>
      </c>
      <c r="T63" s="177"/>
      <c r="U63" s="50">
        <f>[3]P060!$L$5</f>
        <v>0</v>
      </c>
      <c r="V63" s="50">
        <f>[3]P060!$L$5</f>
        <v>0</v>
      </c>
      <c r="W63" s="50"/>
      <c r="X63" s="50">
        <f>[3]P060!$L$8</f>
        <v>0</v>
      </c>
      <c r="Y63" s="50">
        <f>[3]P060!$L$9</f>
        <v>0</v>
      </c>
      <c r="Z63" s="50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0</v>
      </c>
      <c r="AF63" s="53">
        <v>0</v>
      </c>
      <c r="AG63" s="52">
        <f>SUM(Tabla63[[#This Row],[ENERO]:[DICIEMBRE]])</f>
        <v>0</v>
      </c>
      <c r="AI63" s="48" t="s">
        <v>51</v>
      </c>
      <c r="AJ63" s="47">
        <v>60</v>
      </c>
      <c r="AK63" s="177"/>
      <c r="AL63" s="170">
        <v>0</v>
      </c>
      <c r="AM63" s="170">
        <f>[1]P005!$B$6</f>
        <v>177600</v>
      </c>
      <c r="AN63" s="170">
        <v>0</v>
      </c>
      <c r="AO63" s="170">
        <v>0</v>
      </c>
      <c r="AP63" s="170">
        <v>0</v>
      </c>
      <c r="AQ63" s="50">
        <v>0</v>
      </c>
      <c r="AR63" s="50">
        <v>0</v>
      </c>
      <c r="AS63" s="50">
        <v>0</v>
      </c>
      <c r="AT63" s="50">
        <v>0</v>
      </c>
      <c r="AU63" s="50">
        <v>0</v>
      </c>
      <c r="AV63" s="50">
        <v>0</v>
      </c>
      <c r="AW63" s="50">
        <v>0</v>
      </c>
      <c r="AX63" s="45">
        <f>SUM(Tabla634[[#This Row],[ENERO]:[DICIEMBRE]])</f>
        <v>177600</v>
      </c>
    </row>
    <row r="64" spans="1:50" hidden="1">
      <c r="A64" s="37" t="s">
        <v>51</v>
      </c>
      <c r="B64" s="36">
        <v>61</v>
      </c>
      <c r="D64" s="76">
        <f>[1]P001!$K$5</f>
        <v>0</v>
      </c>
      <c r="E64" s="76">
        <f>[1]P001!$K$5</f>
        <v>0</v>
      </c>
      <c r="P64" s="42">
        <f>SUM(Tabla6[[#This Row],[ENERO]:[DICIEMBRE]])</f>
        <v>0</v>
      </c>
      <c r="R64" s="48" t="s">
        <v>51</v>
      </c>
      <c r="S64" s="47">
        <v>61</v>
      </c>
      <c r="T64" s="177"/>
      <c r="U64" s="50">
        <f>[3]P061!$L$5</f>
        <v>0</v>
      </c>
      <c r="V64" s="50">
        <f>[3]P061!$L$5</f>
        <v>0</v>
      </c>
      <c r="W64" s="50"/>
      <c r="X64" s="50">
        <f>[3]P061!$L$8</f>
        <v>0</v>
      </c>
      <c r="Y64" s="50">
        <f>[3]P061!$L$9</f>
        <v>0</v>
      </c>
      <c r="Z64" s="50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2">
        <f>SUM(Tabla63[[#This Row],[ENERO]:[DICIEMBRE]])</f>
        <v>0</v>
      </c>
      <c r="AI64" s="48" t="s">
        <v>51</v>
      </c>
      <c r="AJ64" s="47">
        <v>61</v>
      </c>
      <c r="AK64" s="177"/>
      <c r="AL64" s="170">
        <v>0</v>
      </c>
      <c r="AM64" s="170">
        <f>[1]P005!$B$6</f>
        <v>177600</v>
      </c>
      <c r="AN64" s="170">
        <v>0</v>
      </c>
      <c r="AO64" s="170">
        <v>0</v>
      </c>
      <c r="AP64" s="17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45">
        <f>SUM(Tabla634[[#This Row],[ENERO]:[DICIEMBRE]])</f>
        <v>177600</v>
      </c>
    </row>
    <row r="65" spans="1:50" hidden="1">
      <c r="A65" s="37" t="s">
        <v>51</v>
      </c>
      <c r="B65" s="36">
        <v>62</v>
      </c>
      <c r="C65" s="177" t="s">
        <v>149</v>
      </c>
      <c r="D65" s="76">
        <f>[1]P001!$K$5</f>
        <v>0</v>
      </c>
      <c r="E65" s="76">
        <f>[1]P001!$K$5</f>
        <v>0</v>
      </c>
      <c r="P65" s="42">
        <f>SUM(Tabla6[[#This Row],[ENERO]:[DICIEMBRE]])</f>
        <v>0</v>
      </c>
      <c r="R65" s="48" t="s">
        <v>51</v>
      </c>
      <c r="S65" s="47">
        <v>62</v>
      </c>
      <c r="T65" s="177" t="s">
        <v>149</v>
      </c>
      <c r="U65" s="50">
        <f>[3]P062!$L$5</f>
        <v>58000</v>
      </c>
      <c r="V65" s="50">
        <f>[3]P062!$L$5</f>
        <v>58000</v>
      </c>
      <c r="W65" s="50"/>
      <c r="X65" s="50">
        <f>[3]P062!$L$8</f>
        <v>90100</v>
      </c>
      <c r="Y65" s="50">
        <f>[3]P062!$L$9</f>
        <v>84100</v>
      </c>
      <c r="Z65" s="50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2">
        <f>SUM(Tabla63[[#This Row],[ENERO]:[DICIEMBRE]])</f>
        <v>290200</v>
      </c>
      <c r="AI65" s="48" t="s">
        <v>51</v>
      </c>
      <c r="AJ65" s="47">
        <v>62</v>
      </c>
      <c r="AK65" s="177" t="s">
        <v>149</v>
      </c>
      <c r="AL65" s="170">
        <v>0</v>
      </c>
      <c r="AM65" s="170">
        <f>[1]P005!$B$6</f>
        <v>177600</v>
      </c>
      <c r="AN65" s="170">
        <v>0</v>
      </c>
      <c r="AO65" s="170">
        <v>0</v>
      </c>
      <c r="AP65" s="170">
        <v>0</v>
      </c>
      <c r="AQ65" s="50">
        <v>0</v>
      </c>
      <c r="AR65" s="50">
        <v>0</v>
      </c>
      <c r="AS65" s="50">
        <v>0</v>
      </c>
      <c r="AT65" s="50">
        <v>0</v>
      </c>
      <c r="AU65" s="50">
        <v>0</v>
      </c>
      <c r="AV65" s="50">
        <v>0</v>
      </c>
      <c r="AW65" s="50">
        <v>0</v>
      </c>
      <c r="AX65" s="45">
        <f>SUM(Tabla634[[#This Row],[ENERO]:[DICIEMBRE]])</f>
        <v>177600</v>
      </c>
    </row>
    <row r="66" spans="1:50" hidden="1">
      <c r="A66" s="37" t="s">
        <v>51</v>
      </c>
      <c r="B66" s="36">
        <v>63</v>
      </c>
      <c r="D66" s="76">
        <f>[1]P001!$K$5</f>
        <v>0</v>
      </c>
      <c r="E66" s="76">
        <f>[1]P001!$K$5</f>
        <v>0</v>
      </c>
      <c r="P66" s="42">
        <f>SUM(Tabla6[[#This Row],[ENERO]:[DICIEMBRE]])</f>
        <v>0</v>
      </c>
      <c r="R66" s="48" t="s">
        <v>51</v>
      </c>
      <c r="S66" s="47">
        <v>63</v>
      </c>
      <c r="T66" s="177"/>
      <c r="U66" s="50">
        <f>[3]P063!$L$5</f>
        <v>0</v>
      </c>
      <c r="V66" s="50">
        <f>[3]P063!$L$5</f>
        <v>0</v>
      </c>
      <c r="W66" s="50"/>
      <c r="X66" s="50">
        <f>[3]P063!$L$8</f>
        <v>0</v>
      </c>
      <c r="Y66" s="50">
        <f>[3]P063!$L$9</f>
        <v>0</v>
      </c>
      <c r="Z66" s="50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2">
        <f>SUM(Tabla63[[#This Row],[ENERO]:[DICIEMBRE]])</f>
        <v>0</v>
      </c>
      <c r="AI66" s="48" t="s">
        <v>51</v>
      </c>
      <c r="AJ66" s="47">
        <v>63</v>
      </c>
      <c r="AK66" s="177"/>
      <c r="AL66" s="170">
        <v>0</v>
      </c>
      <c r="AM66" s="170">
        <f>[1]P005!$B$6</f>
        <v>177600</v>
      </c>
      <c r="AN66" s="170">
        <v>0</v>
      </c>
      <c r="AO66" s="170">
        <v>0</v>
      </c>
      <c r="AP66" s="170">
        <v>0</v>
      </c>
      <c r="AQ66" s="50">
        <v>0</v>
      </c>
      <c r="AR66" s="50">
        <v>0</v>
      </c>
      <c r="AS66" s="50">
        <v>0</v>
      </c>
      <c r="AT66" s="50">
        <v>0</v>
      </c>
      <c r="AU66" s="50">
        <v>0</v>
      </c>
      <c r="AV66" s="50">
        <v>0</v>
      </c>
      <c r="AW66" s="50">
        <v>0</v>
      </c>
      <c r="AX66" s="45">
        <f>SUM(Tabla634[[#This Row],[ENERO]:[DICIEMBRE]])</f>
        <v>177600</v>
      </c>
    </row>
    <row r="67" spans="1:50" hidden="1">
      <c r="A67" s="37" t="s">
        <v>51</v>
      </c>
      <c r="B67" s="36">
        <v>64</v>
      </c>
      <c r="D67" s="76">
        <f>[1]P001!$K$5</f>
        <v>0</v>
      </c>
      <c r="E67" s="76">
        <f>[1]P001!$K$5</f>
        <v>0</v>
      </c>
      <c r="P67" s="42">
        <f>SUM(Tabla6[[#This Row],[ENERO]:[DICIEMBRE]])</f>
        <v>0</v>
      </c>
      <c r="R67" s="48" t="s">
        <v>51</v>
      </c>
      <c r="S67" s="47">
        <v>64</v>
      </c>
      <c r="T67" s="177"/>
      <c r="U67" s="50">
        <f>[3]P064!$L$5</f>
        <v>0</v>
      </c>
      <c r="V67" s="50">
        <f>[3]P064!$L$5</f>
        <v>0</v>
      </c>
      <c r="W67" s="50"/>
      <c r="X67" s="50">
        <f>[3]P064!$L$8</f>
        <v>0</v>
      </c>
      <c r="Y67" s="50">
        <f>[3]P064!$L$9</f>
        <v>0</v>
      </c>
      <c r="Z67" s="50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0</v>
      </c>
      <c r="AF67" s="53">
        <v>0</v>
      </c>
      <c r="AG67" s="52">
        <f>SUM(Tabla63[[#This Row],[ENERO]:[DICIEMBRE]])</f>
        <v>0</v>
      </c>
      <c r="AI67" s="48" t="s">
        <v>51</v>
      </c>
      <c r="AJ67" s="47">
        <v>64</v>
      </c>
      <c r="AK67" s="177"/>
      <c r="AL67" s="170">
        <v>0</v>
      </c>
      <c r="AM67" s="170">
        <f>[1]P005!$B$6</f>
        <v>177600</v>
      </c>
      <c r="AN67" s="170">
        <v>0</v>
      </c>
      <c r="AO67" s="170">
        <v>0</v>
      </c>
      <c r="AP67" s="17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45">
        <f>SUM(Tabla634[[#This Row],[ENERO]:[DICIEMBRE]])</f>
        <v>177600</v>
      </c>
    </row>
    <row r="68" spans="1:50" hidden="1">
      <c r="A68" s="37" t="s">
        <v>51</v>
      </c>
      <c r="B68" s="36">
        <v>65</v>
      </c>
      <c r="D68" s="76">
        <f>[1]P001!$K$5</f>
        <v>0</v>
      </c>
      <c r="E68" s="76">
        <f>[1]P001!$K$5</f>
        <v>0</v>
      </c>
      <c r="P68" s="42">
        <f>SUM(Tabla6[[#This Row],[ENERO]:[DICIEMBRE]])</f>
        <v>0</v>
      </c>
      <c r="R68" s="48" t="s">
        <v>51</v>
      </c>
      <c r="S68" s="47">
        <v>65</v>
      </c>
      <c r="T68" s="177"/>
      <c r="U68" s="50">
        <f>[3]P065!$L$5</f>
        <v>0</v>
      </c>
      <c r="V68" s="50">
        <f>[3]P065!$L$5</f>
        <v>0</v>
      </c>
      <c r="W68" s="50"/>
      <c r="X68" s="50">
        <f>[3]P065!$L$8</f>
        <v>0</v>
      </c>
      <c r="Y68" s="50">
        <f>[3]P065!$L$9</f>
        <v>0</v>
      </c>
      <c r="Z68" s="50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2">
        <f>SUM(Tabla63[[#This Row],[ENERO]:[DICIEMBRE]])</f>
        <v>0</v>
      </c>
      <c r="AI68" s="48" t="s">
        <v>51</v>
      </c>
      <c r="AJ68" s="47">
        <v>65</v>
      </c>
      <c r="AK68" s="177"/>
      <c r="AL68" s="170">
        <v>0</v>
      </c>
      <c r="AM68" s="170">
        <f>[1]P005!$B$6</f>
        <v>177600</v>
      </c>
      <c r="AN68" s="170">
        <v>0</v>
      </c>
      <c r="AO68" s="170">
        <v>0</v>
      </c>
      <c r="AP68" s="170">
        <v>0</v>
      </c>
      <c r="AQ68" s="50">
        <v>0</v>
      </c>
      <c r="AR68" s="50">
        <v>0</v>
      </c>
      <c r="AS68" s="50">
        <v>0</v>
      </c>
      <c r="AT68" s="50">
        <v>0</v>
      </c>
      <c r="AU68" s="50">
        <v>0</v>
      </c>
      <c r="AV68" s="50">
        <v>0</v>
      </c>
      <c r="AW68" s="50">
        <v>0</v>
      </c>
      <c r="AX68" s="45">
        <f>SUM(Tabla634[[#This Row],[ENERO]:[DICIEMBRE]])</f>
        <v>177600</v>
      </c>
    </row>
    <row r="69" spans="1:50" hidden="1">
      <c r="A69" s="37" t="s">
        <v>51</v>
      </c>
      <c r="B69" s="36">
        <v>66</v>
      </c>
      <c r="D69" s="76">
        <f>[1]P001!$K$5</f>
        <v>0</v>
      </c>
      <c r="E69" s="76">
        <f>[1]P001!$K$5</f>
        <v>0</v>
      </c>
      <c r="P69" s="42">
        <f>SUM(Tabla6[[#This Row],[ENERO]:[DICIEMBRE]])</f>
        <v>0</v>
      </c>
      <c r="R69" s="48" t="s">
        <v>51</v>
      </c>
      <c r="S69" s="47">
        <v>66</v>
      </c>
      <c r="T69" s="177"/>
      <c r="U69" s="50">
        <f>[3]P066!$L$5</f>
        <v>0</v>
      </c>
      <c r="V69" s="50">
        <f>[3]P066!$L$5</f>
        <v>0</v>
      </c>
      <c r="W69" s="50"/>
      <c r="X69" s="50">
        <f>[3]P066!$L$8</f>
        <v>0</v>
      </c>
      <c r="Y69" s="50">
        <f>[3]P066!$L$9</f>
        <v>0</v>
      </c>
      <c r="Z69" s="50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2">
        <f>SUM(Tabla63[[#This Row],[ENERO]:[DICIEMBRE]])</f>
        <v>0</v>
      </c>
      <c r="AI69" s="48" t="s">
        <v>51</v>
      </c>
      <c r="AJ69" s="47">
        <v>66</v>
      </c>
      <c r="AK69" s="177"/>
      <c r="AL69" s="170">
        <v>0</v>
      </c>
      <c r="AM69" s="170">
        <f>[1]P005!$B$6</f>
        <v>177600</v>
      </c>
      <c r="AN69" s="170">
        <v>0</v>
      </c>
      <c r="AO69" s="170">
        <v>0</v>
      </c>
      <c r="AP69" s="170">
        <v>0</v>
      </c>
      <c r="AQ69" s="50">
        <v>0</v>
      </c>
      <c r="AR69" s="50">
        <v>0</v>
      </c>
      <c r="AS69" s="50">
        <v>0</v>
      </c>
      <c r="AT69" s="50">
        <v>0</v>
      </c>
      <c r="AU69" s="50">
        <v>0</v>
      </c>
      <c r="AV69" s="50">
        <v>0</v>
      </c>
      <c r="AW69" s="50">
        <v>0</v>
      </c>
      <c r="AX69" s="45">
        <f>SUM(Tabla634[[#This Row],[ENERO]:[DICIEMBRE]])</f>
        <v>177600</v>
      </c>
    </row>
    <row r="70" spans="1:50" hidden="1">
      <c r="A70" s="37" t="s">
        <v>51</v>
      </c>
      <c r="B70" s="36">
        <v>67</v>
      </c>
      <c r="D70" s="76">
        <f>[1]P001!$K$5</f>
        <v>0</v>
      </c>
      <c r="E70" s="76">
        <f>[1]P001!$K$5</f>
        <v>0</v>
      </c>
      <c r="P70" s="42">
        <f>SUM(Tabla6[[#This Row],[ENERO]:[DICIEMBRE]])</f>
        <v>0</v>
      </c>
      <c r="R70" s="48" t="s">
        <v>51</v>
      </c>
      <c r="S70" s="47">
        <v>67</v>
      </c>
      <c r="T70" s="177"/>
      <c r="U70" s="50">
        <f>[3]P067!$L$5</f>
        <v>0</v>
      </c>
      <c r="V70" s="50">
        <f>[3]P067!$L$5</f>
        <v>0</v>
      </c>
      <c r="W70" s="50"/>
      <c r="X70" s="50">
        <f>[3]P067!$L$8</f>
        <v>0</v>
      </c>
      <c r="Y70" s="50">
        <f>[3]P067!$L$9</f>
        <v>0</v>
      </c>
      <c r="Z70" s="50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2">
        <f>SUM(Tabla63[[#This Row],[ENERO]:[DICIEMBRE]])</f>
        <v>0</v>
      </c>
      <c r="AI70" s="48" t="s">
        <v>51</v>
      </c>
      <c r="AJ70" s="47">
        <v>67</v>
      </c>
      <c r="AK70" s="177"/>
      <c r="AL70" s="170">
        <v>0</v>
      </c>
      <c r="AM70" s="170">
        <f>[1]P005!$B$6</f>
        <v>177600</v>
      </c>
      <c r="AN70" s="170">
        <v>0</v>
      </c>
      <c r="AO70" s="170">
        <v>0</v>
      </c>
      <c r="AP70" s="170">
        <v>0</v>
      </c>
      <c r="AQ70" s="50">
        <v>0</v>
      </c>
      <c r="AR70" s="50">
        <v>0</v>
      </c>
      <c r="AS70" s="50">
        <v>0</v>
      </c>
      <c r="AT70" s="50">
        <v>0</v>
      </c>
      <c r="AU70" s="50">
        <v>0</v>
      </c>
      <c r="AV70" s="50">
        <v>0</v>
      </c>
      <c r="AW70" s="50">
        <v>0</v>
      </c>
      <c r="AX70" s="45">
        <f>SUM(Tabla634[[#This Row],[ENERO]:[DICIEMBRE]])</f>
        <v>177600</v>
      </c>
    </row>
    <row r="71" spans="1:50" hidden="1">
      <c r="A71" s="37" t="s">
        <v>51</v>
      </c>
      <c r="B71" s="36">
        <v>68</v>
      </c>
      <c r="D71" s="76">
        <f>[1]P001!$K$5</f>
        <v>0</v>
      </c>
      <c r="E71" s="76">
        <f>[1]P001!$K$5</f>
        <v>0</v>
      </c>
      <c r="P71" s="42">
        <f>SUM(Tabla6[[#This Row],[ENERO]:[DICIEMBRE]])</f>
        <v>0</v>
      </c>
      <c r="R71" s="48" t="s">
        <v>51</v>
      </c>
      <c r="S71" s="47">
        <v>68</v>
      </c>
      <c r="T71" s="177"/>
      <c r="U71" s="50">
        <f>[3]P068!$L$5</f>
        <v>0</v>
      </c>
      <c r="V71" s="50">
        <f>[3]P068!$L$5</f>
        <v>0</v>
      </c>
      <c r="W71" s="50"/>
      <c r="X71" s="50">
        <f>[3]P068!$L$8</f>
        <v>0</v>
      </c>
      <c r="Y71" s="50">
        <f>[3]P068!$L$9</f>
        <v>0</v>
      </c>
      <c r="Z71" s="50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2">
        <f>SUM(Tabla63[[#This Row],[ENERO]:[DICIEMBRE]])</f>
        <v>0</v>
      </c>
      <c r="AI71" s="48" t="s">
        <v>51</v>
      </c>
      <c r="AJ71" s="47">
        <v>68</v>
      </c>
      <c r="AK71" s="177"/>
      <c r="AL71" s="170">
        <v>0</v>
      </c>
      <c r="AM71" s="170">
        <f>[1]P005!$B$6</f>
        <v>177600</v>
      </c>
      <c r="AN71" s="170">
        <v>0</v>
      </c>
      <c r="AO71" s="170">
        <v>0</v>
      </c>
      <c r="AP71" s="170">
        <v>0</v>
      </c>
      <c r="AQ71" s="50">
        <v>0</v>
      </c>
      <c r="AR71" s="50">
        <v>0</v>
      </c>
      <c r="AS71" s="50">
        <v>0</v>
      </c>
      <c r="AT71" s="50">
        <v>0</v>
      </c>
      <c r="AU71" s="50">
        <v>0</v>
      </c>
      <c r="AV71" s="50">
        <v>0</v>
      </c>
      <c r="AW71" s="50">
        <v>0</v>
      </c>
      <c r="AX71" s="45">
        <f>SUM(Tabla634[[#This Row],[ENERO]:[DICIEMBRE]])</f>
        <v>177600</v>
      </c>
    </row>
    <row r="72" spans="1:50" hidden="1">
      <c r="A72" s="37" t="s">
        <v>51</v>
      </c>
      <c r="B72" s="36">
        <v>69</v>
      </c>
      <c r="D72" s="76">
        <f>[1]P001!$K$5</f>
        <v>0</v>
      </c>
      <c r="E72" s="76">
        <f>[1]P001!$K$5</f>
        <v>0</v>
      </c>
      <c r="P72" s="42">
        <f>SUM(Tabla6[[#This Row],[ENERO]:[DICIEMBRE]])</f>
        <v>0</v>
      </c>
      <c r="R72" s="48" t="s">
        <v>51</v>
      </c>
      <c r="S72" s="47">
        <v>69</v>
      </c>
      <c r="T72" s="177"/>
      <c r="U72" s="50">
        <f>[3]P069!$L$5</f>
        <v>0</v>
      </c>
      <c r="V72" s="50">
        <f>[3]P069!$L$5</f>
        <v>0</v>
      </c>
      <c r="W72" s="50"/>
      <c r="X72" s="50">
        <f>[3]P069!$L$8</f>
        <v>0</v>
      </c>
      <c r="Y72" s="50">
        <f>[3]P069!$L$9</f>
        <v>0</v>
      </c>
      <c r="Z72" s="50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2">
        <f>SUM(Tabla63[[#This Row],[ENERO]:[DICIEMBRE]])</f>
        <v>0</v>
      </c>
      <c r="AI72" s="48" t="s">
        <v>51</v>
      </c>
      <c r="AJ72" s="47">
        <v>69</v>
      </c>
      <c r="AK72" s="177"/>
      <c r="AL72" s="170">
        <v>0</v>
      </c>
      <c r="AM72" s="170">
        <f>[1]P005!$B$6</f>
        <v>177600</v>
      </c>
      <c r="AN72" s="170">
        <v>0</v>
      </c>
      <c r="AO72" s="170">
        <v>0</v>
      </c>
      <c r="AP72" s="170">
        <v>0</v>
      </c>
      <c r="AQ72" s="50">
        <v>0</v>
      </c>
      <c r="AR72" s="50">
        <v>0</v>
      </c>
      <c r="AS72" s="50">
        <v>0</v>
      </c>
      <c r="AT72" s="50">
        <v>0</v>
      </c>
      <c r="AU72" s="50">
        <v>0</v>
      </c>
      <c r="AV72" s="50">
        <v>0</v>
      </c>
      <c r="AW72" s="50">
        <v>0</v>
      </c>
      <c r="AX72" s="45">
        <f>SUM(Tabla634[[#This Row],[ENERO]:[DICIEMBRE]])</f>
        <v>177600</v>
      </c>
    </row>
    <row r="73" spans="1:50">
      <c r="A73" s="37" t="s">
        <v>51</v>
      </c>
      <c r="B73" s="36">
        <v>70</v>
      </c>
      <c r="C73" s="177" t="s">
        <v>150</v>
      </c>
      <c r="D73" s="76">
        <f>[1]P070!$K$5</f>
        <v>0</v>
      </c>
      <c r="E73" s="76">
        <f>[1]P070!$K$6</f>
        <v>0</v>
      </c>
      <c r="P73" s="42">
        <f>SUM(Tabla6[[#This Row],[ENERO]:[DICIEMBRE]])</f>
        <v>0</v>
      </c>
      <c r="R73" s="48" t="s">
        <v>51</v>
      </c>
      <c r="S73" s="47">
        <v>70</v>
      </c>
      <c r="T73" s="177" t="s">
        <v>150</v>
      </c>
      <c r="U73" s="50">
        <f>[1]P070!$L$5</f>
        <v>857300</v>
      </c>
      <c r="V73" s="50">
        <f>[1]P070!$L$6</f>
        <v>857300</v>
      </c>
      <c r="W73" s="50"/>
      <c r="X73" s="50">
        <v>0</v>
      </c>
      <c r="Y73" s="50">
        <v>0</v>
      </c>
      <c r="Z73" s="50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2">
        <f>SUM(Tabla63[[#This Row],[ENERO]:[DICIEMBRE]])</f>
        <v>1714600</v>
      </c>
      <c r="AI73" s="48" t="s">
        <v>51</v>
      </c>
      <c r="AJ73" s="47">
        <v>70</v>
      </c>
      <c r="AK73" s="177" t="s">
        <v>150</v>
      </c>
      <c r="AL73" s="170">
        <f>[2]P070!$B$5</f>
        <v>857300</v>
      </c>
      <c r="AM73" s="170">
        <f>[1]P070!$B$6</f>
        <v>857300</v>
      </c>
      <c r="AN73" s="170">
        <v>0</v>
      </c>
      <c r="AO73" s="170">
        <v>0</v>
      </c>
      <c r="AP73" s="17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0</v>
      </c>
      <c r="AW73" s="50">
        <v>0</v>
      </c>
      <c r="AX73" s="45">
        <f>SUM(Tabla634[[#This Row],[ENERO]:[DICIEMBRE]])</f>
        <v>1714600</v>
      </c>
    </row>
    <row r="74" spans="1:50" hidden="1">
      <c r="A74" s="37" t="s">
        <v>51</v>
      </c>
      <c r="B74" s="36">
        <v>71</v>
      </c>
      <c r="D74" s="76">
        <f>[1]P001!$K$5</f>
        <v>0</v>
      </c>
      <c r="E74" s="76">
        <f>[1]P001!$K$5</f>
        <v>0</v>
      </c>
      <c r="P74" s="42">
        <f>SUM(Tabla6[[#This Row],[ENERO]:[DICIEMBRE]])</f>
        <v>0</v>
      </c>
      <c r="R74" s="48" t="s">
        <v>51</v>
      </c>
      <c r="S74" s="47">
        <v>71</v>
      </c>
      <c r="T74" s="177"/>
      <c r="U74" s="50">
        <f>[3]P071!$L$5</f>
        <v>0</v>
      </c>
      <c r="V74" s="50">
        <f>[3]P071!$L$5</f>
        <v>0</v>
      </c>
      <c r="W74" s="50"/>
      <c r="X74" s="50">
        <f>[3]P071!$L$8</f>
        <v>0</v>
      </c>
      <c r="Y74" s="50">
        <f>[3]P071!$L$9</f>
        <v>0</v>
      </c>
      <c r="Z74" s="50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2">
        <f>SUM(Tabla63[[#This Row],[ENERO]:[DICIEMBRE]])</f>
        <v>0</v>
      </c>
      <c r="AI74" s="48" t="s">
        <v>51</v>
      </c>
      <c r="AJ74" s="47">
        <v>71</v>
      </c>
      <c r="AK74" s="177"/>
      <c r="AL74" s="170">
        <v>0</v>
      </c>
      <c r="AM74" s="170">
        <f>[1]P005!$B$6</f>
        <v>177600</v>
      </c>
      <c r="AN74" s="170">
        <v>0</v>
      </c>
      <c r="AO74" s="170">
        <v>0</v>
      </c>
      <c r="AP74" s="170">
        <v>0</v>
      </c>
      <c r="AQ74" s="50">
        <v>0</v>
      </c>
      <c r="AR74" s="50">
        <v>0</v>
      </c>
      <c r="AS74" s="50">
        <v>0</v>
      </c>
      <c r="AT74" s="50">
        <v>0</v>
      </c>
      <c r="AU74" s="50">
        <v>0</v>
      </c>
      <c r="AV74" s="50">
        <v>0</v>
      </c>
      <c r="AW74" s="50">
        <v>0</v>
      </c>
      <c r="AX74" s="45">
        <f>SUM(Tabla634[[#This Row],[ENERO]:[DICIEMBRE]])</f>
        <v>177600</v>
      </c>
    </row>
    <row r="75" spans="1:50" hidden="1">
      <c r="A75" s="37" t="s">
        <v>51</v>
      </c>
      <c r="B75" s="36">
        <v>72</v>
      </c>
      <c r="D75" s="76">
        <f>[1]P001!$K$5</f>
        <v>0</v>
      </c>
      <c r="E75" s="76">
        <f>[1]P001!$K$5</f>
        <v>0</v>
      </c>
      <c r="P75" s="42">
        <f>SUM(Tabla6[[#This Row],[ENERO]:[DICIEMBRE]])</f>
        <v>0</v>
      </c>
      <c r="R75" s="48" t="s">
        <v>51</v>
      </c>
      <c r="S75" s="47">
        <v>72</v>
      </c>
      <c r="T75" s="177"/>
      <c r="U75" s="50">
        <f>[3]P072!$L$5</f>
        <v>0</v>
      </c>
      <c r="V75" s="50">
        <f>[3]P072!$L$5</f>
        <v>0</v>
      </c>
      <c r="W75" s="50"/>
      <c r="X75" s="50">
        <f>[3]P072!$L$8</f>
        <v>0</v>
      </c>
      <c r="Y75" s="50">
        <f>[3]P072!$L$9</f>
        <v>0</v>
      </c>
      <c r="Z75" s="50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2">
        <f>SUM(Tabla63[[#This Row],[ENERO]:[DICIEMBRE]])</f>
        <v>0</v>
      </c>
      <c r="AI75" s="48" t="s">
        <v>51</v>
      </c>
      <c r="AJ75" s="47">
        <v>72</v>
      </c>
      <c r="AK75" s="177"/>
      <c r="AL75" s="170">
        <v>0</v>
      </c>
      <c r="AM75" s="170">
        <f>[1]P005!$B$6</f>
        <v>177600</v>
      </c>
      <c r="AN75" s="170">
        <v>0</v>
      </c>
      <c r="AO75" s="170">
        <v>0</v>
      </c>
      <c r="AP75" s="170">
        <v>0</v>
      </c>
      <c r="AQ75" s="50">
        <v>0</v>
      </c>
      <c r="AR75" s="50">
        <v>0</v>
      </c>
      <c r="AS75" s="50">
        <v>0</v>
      </c>
      <c r="AT75" s="50">
        <v>0</v>
      </c>
      <c r="AU75" s="50">
        <v>0</v>
      </c>
      <c r="AV75" s="50">
        <v>0</v>
      </c>
      <c r="AW75" s="50">
        <v>0</v>
      </c>
      <c r="AX75" s="45">
        <f>SUM(Tabla634[[#This Row],[ENERO]:[DICIEMBRE]])</f>
        <v>177600</v>
      </c>
    </row>
    <row r="76" spans="1:50" hidden="1">
      <c r="A76" s="37" t="s">
        <v>51</v>
      </c>
      <c r="B76" s="36">
        <v>73</v>
      </c>
      <c r="D76" s="76">
        <f>[1]P001!$K$5</f>
        <v>0</v>
      </c>
      <c r="E76" s="76">
        <f>[1]P001!$K$5</f>
        <v>0</v>
      </c>
      <c r="P76" s="42">
        <f>SUM(Tabla6[[#This Row],[ENERO]:[DICIEMBRE]])</f>
        <v>0</v>
      </c>
      <c r="R76" s="48" t="s">
        <v>51</v>
      </c>
      <c r="S76" s="47">
        <v>73</v>
      </c>
      <c r="T76" s="177"/>
      <c r="U76" s="50">
        <f>[3]P073!$L$5</f>
        <v>0</v>
      </c>
      <c r="V76" s="50">
        <f>[3]P073!$L$5</f>
        <v>0</v>
      </c>
      <c r="W76" s="50"/>
      <c r="X76" s="50">
        <f>[3]P073!$L$8</f>
        <v>0</v>
      </c>
      <c r="Y76" s="50">
        <f>[3]P073!$L$9</f>
        <v>0</v>
      </c>
      <c r="Z76" s="50">
        <v>0</v>
      </c>
      <c r="AA76" s="53">
        <v>0</v>
      </c>
      <c r="AB76" s="53">
        <v>0</v>
      </c>
      <c r="AC76" s="53">
        <v>0</v>
      </c>
      <c r="AD76" s="53">
        <v>0</v>
      </c>
      <c r="AE76" s="53">
        <v>0</v>
      </c>
      <c r="AF76" s="53">
        <v>0</v>
      </c>
      <c r="AG76" s="52">
        <f>SUM(Tabla63[[#This Row],[ENERO]:[DICIEMBRE]])</f>
        <v>0</v>
      </c>
      <c r="AI76" s="48" t="s">
        <v>51</v>
      </c>
      <c r="AJ76" s="47">
        <v>73</v>
      </c>
      <c r="AK76" s="177"/>
      <c r="AL76" s="170">
        <v>0</v>
      </c>
      <c r="AM76" s="170">
        <f>[1]P005!$B$6</f>
        <v>177600</v>
      </c>
      <c r="AN76" s="170">
        <v>0</v>
      </c>
      <c r="AO76" s="170">
        <v>0</v>
      </c>
      <c r="AP76" s="17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45">
        <f>SUM(Tabla634[[#This Row],[ENERO]:[DICIEMBRE]])</f>
        <v>177600</v>
      </c>
    </row>
    <row r="77" spans="1:50">
      <c r="A77" s="37" t="s">
        <v>51</v>
      </c>
      <c r="B77" s="36">
        <v>74</v>
      </c>
      <c r="C77" s="407" t="s">
        <v>229</v>
      </c>
      <c r="D77" s="76">
        <f>[1]PO73!$K$5</f>
        <v>0</v>
      </c>
      <c r="E77" s="76">
        <f>[1]PO73!$K$6</f>
        <v>0</v>
      </c>
      <c r="P77" s="42">
        <f>SUM(Tabla6[[#This Row],[ENERO]:[DICIEMBRE]])</f>
        <v>0</v>
      </c>
      <c r="R77" s="48" t="s">
        <v>51</v>
      </c>
      <c r="S77" s="47">
        <v>74</v>
      </c>
      <c r="T77" s="177" t="s">
        <v>151</v>
      </c>
      <c r="U77" s="50">
        <f>[1]PO73!$L$5</f>
        <v>266400</v>
      </c>
      <c r="V77" s="50">
        <f>[1]PO73!$L$6</f>
        <v>266400</v>
      </c>
      <c r="W77" s="50"/>
      <c r="X77" s="50">
        <v>0</v>
      </c>
      <c r="Y77" s="50">
        <v>0</v>
      </c>
      <c r="Z77" s="50">
        <v>0</v>
      </c>
      <c r="AA77" s="53">
        <v>0</v>
      </c>
      <c r="AB77" s="53">
        <v>0</v>
      </c>
      <c r="AC77" s="53">
        <v>0</v>
      </c>
      <c r="AD77" s="53">
        <v>0</v>
      </c>
      <c r="AE77" s="53">
        <v>0</v>
      </c>
      <c r="AF77" s="53">
        <v>0</v>
      </c>
      <c r="AG77" s="52">
        <f>SUM(Tabla63[[#This Row],[ENERO]:[DICIEMBRE]])</f>
        <v>532800</v>
      </c>
      <c r="AI77" s="48" t="s">
        <v>51</v>
      </c>
      <c r="AJ77" s="47">
        <v>74</v>
      </c>
      <c r="AK77" s="177" t="s">
        <v>151</v>
      </c>
      <c r="AL77" s="170">
        <f>[2]PO73!$B$5</f>
        <v>266400</v>
      </c>
      <c r="AM77" s="170">
        <f>[1]PO73!$B$6</f>
        <v>266400</v>
      </c>
      <c r="AN77" s="170">
        <v>0</v>
      </c>
      <c r="AO77" s="170">
        <v>0</v>
      </c>
      <c r="AP77" s="17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45">
        <f>SUM(Tabla634[[#This Row],[ENERO]:[DICIEMBRE]])</f>
        <v>532800</v>
      </c>
    </row>
    <row r="78" spans="1:50">
      <c r="A78" s="37" t="s">
        <v>51</v>
      </c>
      <c r="B78" s="36">
        <v>75</v>
      </c>
      <c r="C78" s="177" t="s">
        <v>152</v>
      </c>
      <c r="D78" s="76">
        <f>[1]P075!$K$5</f>
        <v>204300</v>
      </c>
      <c r="E78" s="76">
        <f>[1]P075!$K$6</f>
        <v>204300</v>
      </c>
      <c r="P78" s="42">
        <f>SUM(Tabla6[[#This Row],[ENERO]:[DICIEMBRE]])</f>
        <v>408600</v>
      </c>
      <c r="R78" s="48" t="s">
        <v>51</v>
      </c>
      <c r="S78" s="47">
        <v>75</v>
      </c>
      <c r="T78" s="177" t="s">
        <v>152</v>
      </c>
      <c r="U78" s="50">
        <f>[1]P075!$L$5</f>
        <v>0</v>
      </c>
      <c r="V78" s="50">
        <f>[1]P075!$L$6</f>
        <v>0</v>
      </c>
      <c r="W78" s="50"/>
      <c r="X78" s="50">
        <v>0</v>
      </c>
      <c r="Y78" s="50">
        <v>0</v>
      </c>
      <c r="Z78" s="50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0</v>
      </c>
      <c r="AF78" s="53">
        <v>0</v>
      </c>
      <c r="AG78" s="52">
        <f>SUM(Tabla63[[#This Row],[ENERO]:[DICIEMBRE]])</f>
        <v>0</v>
      </c>
      <c r="AI78" s="48" t="s">
        <v>51</v>
      </c>
      <c r="AJ78" s="47">
        <v>75</v>
      </c>
      <c r="AK78" s="177" t="s">
        <v>152</v>
      </c>
      <c r="AL78" s="170">
        <f>[2]P075!$B$5</f>
        <v>204300</v>
      </c>
      <c r="AM78" s="170">
        <f>[1]P075!$B$6</f>
        <v>204300</v>
      </c>
      <c r="AN78" s="170">
        <v>0</v>
      </c>
      <c r="AO78" s="170">
        <v>0</v>
      </c>
      <c r="AP78" s="170">
        <v>0</v>
      </c>
      <c r="AQ78" s="50">
        <v>0</v>
      </c>
      <c r="AR78" s="50">
        <v>0</v>
      </c>
      <c r="AS78" s="50">
        <v>0</v>
      </c>
      <c r="AT78" s="50">
        <v>0</v>
      </c>
      <c r="AU78" s="50">
        <v>0</v>
      </c>
      <c r="AV78" s="50">
        <v>0</v>
      </c>
      <c r="AW78" s="50">
        <v>0</v>
      </c>
      <c r="AX78" s="45">
        <f>SUM(Tabla634[[#This Row],[ENERO]:[DICIEMBRE]])</f>
        <v>408600</v>
      </c>
    </row>
    <row r="79" spans="1:50" hidden="1">
      <c r="A79" s="37" t="s">
        <v>51</v>
      </c>
      <c r="B79" s="36">
        <v>76</v>
      </c>
      <c r="D79" s="76">
        <f>[1]P001!$K$5</f>
        <v>0</v>
      </c>
      <c r="E79" s="76">
        <f>[1]P001!$K$5</f>
        <v>0</v>
      </c>
      <c r="P79" s="42">
        <f>SUM(Tabla6[[#This Row],[ENERO]:[DICIEMBRE]])</f>
        <v>0</v>
      </c>
      <c r="R79" s="48" t="s">
        <v>51</v>
      </c>
      <c r="S79" s="47">
        <v>76</v>
      </c>
      <c r="T79" s="177"/>
      <c r="U79" s="50">
        <f>[3]P076!$L$5</f>
        <v>0</v>
      </c>
      <c r="V79" s="50">
        <f>[3]P076!$L$5</f>
        <v>0</v>
      </c>
      <c r="W79" s="50"/>
      <c r="X79" s="50">
        <f>[3]P076!$L$8</f>
        <v>0</v>
      </c>
      <c r="Y79" s="50">
        <f>[3]P076!$L$9</f>
        <v>0</v>
      </c>
      <c r="Z79" s="50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2">
        <f>SUM(Tabla63[[#This Row],[ENERO]:[DICIEMBRE]])</f>
        <v>0</v>
      </c>
      <c r="AI79" s="48" t="s">
        <v>51</v>
      </c>
      <c r="AJ79" s="47">
        <v>76</v>
      </c>
      <c r="AK79" s="177"/>
      <c r="AL79" s="170">
        <v>0</v>
      </c>
      <c r="AM79" s="170">
        <f>[1]P005!$B$6</f>
        <v>177600</v>
      </c>
      <c r="AN79" s="170">
        <v>0</v>
      </c>
      <c r="AO79" s="170">
        <v>0</v>
      </c>
      <c r="AP79" s="170">
        <v>0</v>
      </c>
      <c r="AQ79" s="50">
        <v>0</v>
      </c>
      <c r="AR79" s="50">
        <v>0</v>
      </c>
      <c r="AS79" s="50">
        <v>0</v>
      </c>
      <c r="AT79" s="50">
        <v>0</v>
      </c>
      <c r="AU79" s="50">
        <v>0</v>
      </c>
      <c r="AV79" s="50">
        <v>0</v>
      </c>
      <c r="AW79" s="50">
        <v>0</v>
      </c>
      <c r="AX79" s="45">
        <f>SUM(Tabla634[[#This Row],[ENERO]:[DICIEMBRE]])</f>
        <v>177600</v>
      </c>
    </row>
    <row r="80" spans="1:50" hidden="1">
      <c r="A80" s="37" t="s">
        <v>51</v>
      </c>
      <c r="B80" s="36">
        <v>77</v>
      </c>
      <c r="D80" s="76">
        <f>[1]P001!$K$5</f>
        <v>0</v>
      </c>
      <c r="E80" s="76">
        <f>[1]P001!$K$5</f>
        <v>0</v>
      </c>
      <c r="P80" s="42">
        <f>SUM(Tabla6[[#This Row],[ENERO]:[DICIEMBRE]])</f>
        <v>0</v>
      </c>
      <c r="R80" s="48" t="s">
        <v>51</v>
      </c>
      <c r="S80" s="47">
        <v>77</v>
      </c>
      <c r="T80" s="177"/>
      <c r="U80" s="50">
        <f>[3]P077!$L$5</f>
        <v>0</v>
      </c>
      <c r="V80" s="50">
        <f>[3]P077!$L$5</f>
        <v>0</v>
      </c>
      <c r="W80" s="50"/>
      <c r="X80" s="50">
        <f>[3]P077!$L$8</f>
        <v>0</v>
      </c>
      <c r="Y80" s="50">
        <f>[3]P077!$L$9</f>
        <v>0</v>
      </c>
      <c r="Z80" s="50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2">
        <f>SUM(Tabla63[[#This Row],[ENERO]:[DICIEMBRE]])</f>
        <v>0</v>
      </c>
      <c r="AI80" s="48" t="s">
        <v>51</v>
      </c>
      <c r="AJ80" s="47">
        <v>77</v>
      </c>
      <c r="AK80" s="177"/>
      <c r="AL80" s="170">
        <v>0</v>
      </c>
      <c r="AM80" s="170">
        <f>[1]P005!$B$6</f>
        <v>177600</v>
      </c>
      <c r="AN80" s="170">
        <v>0</v>
      </c>
      <c r="AO80" s="170">
        <v>0</v>
      </c>
      <c r="AP80" s="170">
        <v>0</v>
      </c>
      <c r="AQ80" s="50">
        <v>0</v>
      </c>
      <c r="AR80" s="50">
        <v>0</v>
      </c>
      <c r="AS80" s="50">
        <v>0</v>
      </c>
      <c r="AT80" s="50">
        <v>0</v>
      </c>
      <c r="AU80" s="50">
        <v>0</v>
      </c>
      <c r="AV80" s="50">
        <v>0</v>
      </c>
      <c r="AW80" s="50">
        <v>0</v>
      </c>
      <c r="AX80" s="45">
        <f>SUM(Tabla634[[#This Row],[ENERO]:[DICIEMBRE]])</f>
        <v>177600</v>
      </c>
    </row>
    <row r="81" spans="1:50" hidden="1">
      <c r="A81" s="37" t="s">
        <v>51</v>
      </c>
      <c r="B81" s="36">
        <v>78</v>
      </c>
      <c r="D81" s="76">
        <f>[1]P001!$K$5</f>
        <v>0</v>
      </c>
      <c r="E81" s="76">
        <f>[1]P001!$K$5</f>
        <v>0</v>
      </c>
      <c r="P81" s="42">
        <f>SUM(Tabla6[[#This Row],[ENERO]:[DICIEMBRE]])</f>
        <v>0</v>
      </c>
      <c r="R81" s="48" t="s">
        <v>51</v>
      </c>
      <c r="S81" s="47">
        <v>78</v>
      </c>
      <c r="T81" s="177"/>
      <c r="U81" s="50">
        <f>[3]P078!$L$5</f>
        <v>0</v>
      </c>
      <c r="V81" s="50">
        <f>[3]P078!$L$5</f>
        <v>0</v>
      </c>
      <c r="W81" s="50"/>
      <c r="X81" s="50">
        <f>[3]P078!$L$8</f>
        <v>0</v>
      </c>
      <c r="Y81" s="50">
        <f>[3]P078!$L$9</f>
        <v>0</v>
      </c>
      <c r="Z81" s="50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2">
        <f>SUM(Tabla63[[#This Row],[ENERO]:[DICIEMBRE]])</f>
        <v>0</v>
      </c>
      <c r="AI81" s="48" t="s">
        <v>51</v>
      </c>
      <c r="AJ81" s="47">
        <v>78</v>
      </c>
      <c r="AK81" s="177"/>
      <c r="AL81" s="170">
        <v>0</v>
      </c>
      <c r="AM81" s="170">
        <f>[1]P005!$B$6</f>
        <v>177600</v>
      </c>
      <c r="AN81" s="170">
        <v>0</v>
      </c>
      <c r="AO81" s="170">
        <v>0</v>
      </c>
      <c r="AP81" s="170">
        <v>0</v>
      </c>
      <c r="AQ81" s="50">
        <v>0</v>
      </c>
      <c r="AR81" s="50">
        <v>0</v>
      </c>
      <c r="AS81" s="50">
        <v>0</v>
      </c>
      <c r="AT81" s="50">
        <v>0</v>
      </c>
      <c r="AU81" s="50">
        <v>0</v>
      </c>
      <c r="AV81" s="50">
        <v>0</v>
      </c>
      <c r="AW81" s="50">
        <v>0</v>
      </c>
      <c r="AX81" s="45">
        <f>SUM(Tabla634[[#This Row],[ENERO]:[DICIEMBRE]])</f>
        <v>177600</v>
      </c>
    </row>
    <row r="82" spans="1:50" hidden="1">
      <c r="A82" s="37" t="s">
        <v>51</v>
      </c>
      <c r="B82" s="36">
        <v>79</v>
      </c>
      <c r="D82" s="76">
        <f>[1]P001!$K$5</f>
        <v>0</v>
      </c>
      <c r="E82" s="76">
        <f>[1]P001!$K$5</f>
        <v>0</v>
      </c>
      <c r="P82" s="42">
        <f>SUM(Tabla6[[#This Row],[ENERO]:[DICIEMBRE]])</f>
        <v>0</v>
      </c>
      <c r="R82" s="48" t="s">
        <v>51</v>
      </c>
      <c r="S82" s="47">
        <v>79</v>
      </c>
      <c r="T82" s="177"/>
      <c r="U82" s="50">
        <f>[3]P079!$L$5</f>
        <v>0</v>
      </c>
      <c r="V82" s="50">
        <f>[3]P079!$L$5</f>
        <v>0</v>
      </c>
      <c r="W82" s="50"/>
      <c r="X82" s="50">
        <f>[3]P079!$L$8</f>
        <v>0</v>
      </c>
      <c r="Y82" s="50">
        <f>[3]P079!$L$9</f>
        <v>0</v>
      </c>
      <c r="Z82" s="50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2">
        <f>SUM(Tabla63[[#This Row],[ENERO]:[DICIEMBRE]])</f>
        <v>0</v>
      </c>
      <c r="AI82" s="48" t="s">
        <v>51</v>
      </c>
      <c r="AJ82" s="47">
        <v>79</v>
      </c>
      <c r="AK82" s="177"/>
      <c r="AL82" s="170">
        <v>0</v>
      </c>
      <c r="AM82" s="170">
        <f>[1]P005!$B$6</f>
        <v>177600</v>
      </c>
      <c r="AN82" s="170">
        <v>0</v>
      </c>
      <c r="AO82" s="170">
        <v>0</v>
      </c>
      <c r="AP82" s="170">
        <v>0</v>
      </c>
      <c r="AQ82" s="50">
        <v>0</v>
      </c>
      <c r="AR82" s="50">
        <v>0</v>
      </c>
      <c r="AS82" s="50">
        <v>0</v>
      </c>
      <c r="AT82" s="50">
        <v>0</v>
      </c>
      <c r="AU82" s="50">
        <v>0</v>
      </c>
      <c r="AV82" s="50">
        <v>0</v>
      </c>
      <c r="AW82" s="50">
        <v>0</v>
      </c>
      <c r="AX82" s="45">
        <f>SUM(Tabla634[[#This Row],[ENERO]:[DICIEMBRE]])</f>
        <v>177600</v>
      </c>
    </row>
    <row r="83" spans="1:50">
      <c r="A83" s="37" t="s">
        <v>51</v>
      </c>
      <c r="B83" s="36">
        <v>80</v>
      </c>
      <c r="C83" s="177" t="s">
        <v>153</v>
      </c>
      <c r="D83" s="76">
        <f>[1]P080!$K$5</f>
        <v>0</v>
      </c>
      <c r="E83" s="76">
        <f>[1]P080!$K$6</f>
        <v>250</v>
      </c>
      <c r="P83" s="42">
        <f>SUM(Tabla6[[#This Row],[ENERO]:[DICIEMBRE]])</f>
        <v>250</v>
      </c>
      <c r="R83" s="48" t="s">
        <v>51</v>
      </c>
      <c r="S83" s="47">
        <v>80</v>
      </c>
      <c r="T83" s="177" t="s">
        <v>153</v>
      </c>
      <c r="U83" s="50">
        <f>[1]P080!$L$5</f>
        <v>907500</v>
      </c>
      <c r="V83" s="50">
        <f>[1]P080!$L$6</f>
        <v>615750</v>
      </c>
      <c r="W83" s="50"/>
      <c r="X83" s="50">
        <v>0</v>
      </c>
      <c r="Y83" s="50">
        <v>0</v>
      </c>
      <c r="Z83" s="50">
        <v>0</v>
      </c>
      <c r="AA83" s="53">
        <v>0</v>
      </c>
      <c r="AB83" s="53">
        <v>0</v>
      </c>
      <c r="AC83" s="53">
        <v>0</v>
      </c>
      <c r="AD83" s="53">
        <v>0</v>
      </c>
      <c r="AE83" s="53">
        <v>0</v>
      </c>
      <c r="AF83" s="53">
        <v>0</v>
      </c>
      <c r="AG83" s="52">
        <f>SUM(Tabla63[[#This Row],[ENERO]:[DICIEMBRE]])</f>
        <v>1523250</v>
      </c>
      <c r="AI83" s="48" t="s">
        <v>51</v>
      </c>
      <c r="AJ83" s="47">
        <v>80</v>
      </c>
      <c r="AK83" s="177" t="s">
        <v>153</v>
      </c>
      <c r="AL83" s="170">
        <f>[1]P080!$B$5</f>
        <v>907500</v>
      </c>
      <c r="AM83" s="170">
        <f>[1]P080!$B$6</f>
        <v>616000</v>
      </c>
      <c r="AN83" s="170">
        <v>0</v>
      </c>
      <c r="AO83" s="170">
        <v>0</v>
      </c>
      <c r="AP83" s="17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45">
        <f>SUM(Tabla634[[#This Row],[ENERO]:[DICIEMBRE]])</f>
        <v>1523500</v>
      </c>
    </row>
    <row r="84" spans="1:50" hidden="1">
      <c r="A84" s="37" t="s">
        <v>51</v>
      </c>
      <c r="B84" s="36">
        <v>81</v>
      </c>
      <c r="D84" s="76">
        <f>[1]P001!$K$5</f>
        <v>0</v>
      </c>
      <c r="E84" s="76">
        <f>[1]P001!$K$5</f>
        <v>0</v>
      </c>
      <c r="P84" s="42">
        <f>SUM(Tabla6[[#This Row],[ENERO]:[DICIEMBRE]])</f>
        <v>0</v>
      </c>
      <c r="R84" s="48" t="s">
        <v>51</v>
      </c>
      <c r="S84" s="47">
        <v>81</v>
      </c>
      <c r="T84" s="177"/>
      <c r="U84" s="50">
        <f>[3]P081!$L$5</f>
        <v>0</v>
      </c>
      <c r="V84" s="50">
        <f>[3]P081!$L$5</f>
        <v>0</v>
      </c>
      <c r="W84" s="50"/>
      <c r="X84" s="50">
        <f>[3]P081!$L$8</f>
        <v>0</v>
      </c>
      <c r="Y84" s="50">
        <f>[3]P081!$L$9</f>
        <v>0</v>
      </c>
      <c r="Z84" s="50">
        <v>0</v>
      </c>
      <c r="AA84" s="53">
        <v>0</v>
      </c>
      <c r="AB84" s="53">
        <v>0</v>
      </c>
      <c r="AC84" s="53">
        <v>0</v>
      </c>
      <c r="AD84" s="53">
        <v>0</v>
      </c>
      <c r="AE84" s="53">
        <v>0</v>
      </c>
      <c r="AF84" s="53">
        <v>0</v>
      </c>
      <c r="AG84" s="52">
        <f>SUM(Tabla63[[#This Row],[ENERO]:[DICIEMBRE]])</f>
        <v>0</v>
      </c>
      <c r="AI84" s="48" t="s">
        <v>51</v>
      </c>
      <c r="AJ84" s="47">
        <v>81</v>
      </c>
      <c r="AK84" s="177"/>
      <c r="AL84" s="170">
        <v>0</v>
      </c>
      <c r="AM84" s="170">
        <f>[1]P005!$B$6</f>
        <v>177600</v>
      </c>
      <c r="AN84" s="170">
        <v>0</v>
      </c>
      <c r="AO84" s="170">
        <v>0</v>
      </c>
      <c r="AP84" s="17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45">
        <f>SUM(Tabla634[[#This Row],[ENERO]:[DICIEMBRE]])</f>
        <v>177600</v>
      </c>
    </row>
    <row r="85" spans="1:50" hidden="1">
      <c r="A85" s="37" t="s">
        <v>51</v>
      </c>
      <c r="B85" s="36">
        <v>82</v>
      </c>
      <c r="D85" s="76">
        <f>[1]P001!$K$5</f>
        <v>0</v>
      </c>
      <c r="E85" s="76">
        <f>[1]P001!$K$5</f>
        <v>0</v>
      </c>
      <c r="P85" s="42">
        <f>SUM(Tabla6[[#This Row],[ENERO]:[DICIEMBRE]])</f>
        <v>0</v>
      </c>
      <c r="R85" s="48" t="s">
        <v>51</v>
      </c>
      <c r="S85" s="47">
        <v>82</v>
      </c>
      <c r="T85" s="177"/>
      <c r="U85" s="50">
        <f>[3]P082!$L$5</f>
        <v>0</v>
      </c>
      <c r="V85" s="50">
        <f>[3]P082!$L$5</f>
        <v>0</v>
      </c>
      <c r="W85" s="50"/>
      <c r="X85" s="50">
        <f>[3]P082!$L$8</f>
        <v>0</v>
      </c>
      <c r="Y85" s="50">
        <f>[3]P082!$L$9</f>
        <v>0</v>
      </c>
      <c r="Z85" s="50">
        <v>0</v>
      </c>
      <c r="AA85" s="53">
        <v>0</v>
      </c>
      <c r="AB85" s="53">
        <v>0</v>
      </c>
      <c r="AC85" s="53">
        <v>0</v>
      </c>
      <c r="AD85" s="53">
        <v>0</v>
      </c>
      <c r="AE85" s="53">
        <v>0</v>
      </c>
      <c r="AF85" s="53">
        <v>0</v>
      </c>
      <c r="AG85" s="52">
        <f>SUM(Tabla63[[#This Row],[ENERO]:[DICIEMBRE]])</f>
        <v>0</v>
      </c>
      <c r="AI85" s="48" t="s">
        <v>51</v>
      </c>
      <c r="AJ85" s="47">
        <v>82</v>
      </c>
      <c r="AK85" s="177"/>
      <c r="AL85" s="170">
        <v>0</v>
      </c>
      <c r="AM85" s="170">
        <f>[1]P005!$B$6</f>
        <v>177600</v>
      </c>
      <c r="AN85" s="170">
        <v>0</v>
      </c>
      <c r="AO85" s="170">
        <v>0</v>
      </c>
      <c r="AP85" s="17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0</v>
      </c>
      <c r="AV85" s="50">
        <v>0</v>
      </c>
      <c r="AW85" s="50">
        <v>0</v>
      </c>
      <c r="AX85" s="45">
        <f>SUM(Tabla634[[#This Row],[ENERO]:[DICIEMBRE]])</f>
        <v>177600</v>
      </c>
    </row>
    <row r="86" spans="1:50" hidden="1">
      <c r="A86" s="37" t="s">
        <v>51</v>
      </c>
      <c r="B86" s="36">
        <v>83</v>
      </c>
      <c r="D86" s="76">
        <f>[1]P001!$K$5</f>
        <v>0</v>
      </c>
      <c r="E86" s="76">
        <f>[1]P001!$K$5</f>
        <v>0</v>
      </c>
      <c r="P86" s="42">
        <f>SUM(Tabla6[[#This Row],[ENERO]:[DICIEMBRE]])</f>
        <v>0</v>
      </c>
      <c r="R86" s="48" t="s">
        <v>51</v>
      </c>
      <c r="S86" s="47">
        <v>83</v>
      </c>
      <c r="T86" s="177"/>
      <c r="U86" s="50">
        <f>[3]P083!$L$5</f>
        <v>0</v>
      </c>
      <c r="V86" s="50">
        <f>[3]P083!$L$5</f>
        <v>0</v>
      </c>
      <c r="W86" s="50"/>
      <c r="X86" s="50">
        <f>[3]P083!$L$8</f>
        <v>0</v>
      </c>
      <c r="Y86" s="50">
        <f>[3]P083!$L$9</f>
        <v>0</v>
      </c>
      <c r="Z86" s="50">
        <v>0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0</v>
      </c>
      <c r="AG86" s="52">
        <f>SUM(Tabla63[[#This Row],[ENERO]:[DICIEMBRE]])</f>
        <v>0</v>
      </c>
      <c r="AI86" s="48" t="s">
        <v>51</v>
      </c>
      <c r="AJ86" s="47">
        <v>83</v>
      </c>
      <c r="AK86" s="177"/>
      <c r="AL86" s="170">
        <v>0</v>
      </c>
      <c r="AM86" s="170">
        <f>[1]P005!$B$6</f>
        <v>177600</v>
      </c>
      <c r="AN86" s="170">
        <v>0</v>
      </c>
      <c r="AO86" s="170">
        <v>0</v>
      </c>
      <c r="AP86" s="17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45">
        <f>SUM(Tabla634[[#This Row],[ENERO]:[DICIEMBRE]])</f>
        <v>177600</v>
      </c>
    </row>
    <row r="87" spans="1:50">
      <c r="A87" s="37" t="s">
        <v>51</v>
      </c>
      <c r="B87" s="36">
        <v>84</v>
      </c>
      <c r="C87" s="177" t="s">
        <v>154</v>
      </c>
      <c r="D87" s="76">
        <f>[1]P084!$K$5</f>
        <v>0</v>
      </c>
      <c r="E87" s="76">
        <f>[1]P084!$K$6</f>
        <v>0</v>
      </c>
      <c r="P87" s="42">
        <f>SUM(Tabla6[[#This Row],[ENERO]:[DICIEMBRE]])</f>
        <v>0</v>
      </c>
      <c r="R87" s="48" t="s">
        <v>51</v>
      </c>
      <c r="S87" s="47">
        <v>84</v>
      </c>
      <c r="T87" s="177" t="s">
        <v>154</v>
      </c>
      <c r="U87" s="50">
        <f>[1]P084!$L$5</f>
        <v>177600</v>
      </c>
      <c r="V87" s="50">
        <f>[1]P084!$L$6</f>
        <v>177600</v>
      </c>
      <c r="W87" s="50"/>
      <c r="X87" s="50">
        <v>0</v>
      </c>
      <c r="Y87" s="50">
        <v>0</v>
      </c>
      <c r="Z87" s="50">
        <v>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0</v>
      </c>
      <c r="AG87" s="52">
        <f>SUM(Tabla63[[#This Row],[ENERO]:[DICIEMBRE]])</f>
        <v>355200</v>
      </c>
      <c r="AI87" s="48" t="s">
        <v>51</v>
      </c>
      <c r="AJ87" s="47">
        <v>84</v>
      </c>
      <c r="AK87" s="177" t="s">
        <v>154</v>
      </c>
      <c r="AL87" s="170">
        <f>[2]P084!$B$5</f>
        <v>177600</v>
      </c>
      <c r="AM87" s="170">
        <f>[1]P084!$B$6</f>
        <v>177600</v>
      </c>
      <c r="AN87" s="170">
        <v>0</v>
      </c>
      <c r="AO87" s="170">
        <v>0</v>
      </c>
      <c r="AP87" s="170">
        <v>0</v>
      </c>
      <c r="AQ87" s="50">
        <v>0</v>
      </c>
      <c r="AR87" s="50">
        <v>0</v>
      </c>
      <c r="AS87" s="50">
        <v>0</v>
      </c>
      <c r="AT87" s="50">
        <v>0</v>
      </c>
      <c r="AU87" s="50">
        <v>0</v>
      </c>
      <c r="AV87" s="50">
        <v>0</v>
      </c>
      <c r="AW87" s="50">
        <v>0</v>
      </c>
      <c r="AX87" s="45">
        <f>SUM(Tabla634[[#This Row],[ENERO]:[DICIEMBRE]])</f>
        <v>355200</v>
      </c>
    </row>
    <row r="88" spans="1:50">
      <c r="A88" s="37" t="s">
        <v>51</v>
      </c>
      <c r="B88" s="36">
        <v>85</v>
      </c>
      <c r="C88" s="177" t="s">
        <v>155</v>
      </c>
      <c r="D88" s="76">
        <f>[1]P085!$K$5</f>
        <v>177600</v>
      </c>
      <c r="E88" s="76">
        <f>[1]P085!$K$6</f>
        <v>177600</v>
      </c>
      <c r="P88" s="42">
        <f>SUM(Tabla6[[#This Row],[ENERO]:[DICIEMBRE]])</f>
        <v>355200</v>
      </c>
      <c r="R88" s="48" t="s">
        <v>51</v>
      </c>
      <c r="S88" s="47">
        <v>85</v>
      </c>
      <c r="T88" s="177" t="s">
        <v>155</v>
      </c>
      <c r="U88" s="50">
        <f>[2]P085!$L$5</f>
        <v>0</v>
      </c>
      <c r="V88" s="50">
        <f>[2]P085!$L$6</f>
        <v>0</v>
      </c>
      <c r="W88" s="50"/>
      <c r="X88" s="50">
        <v>0</v>
      </c>
      <c r="Y88" s="50">
        <v>0</v>
      </c>
      <c r="Z88" s="50">
        <v>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0</v>
      </c>
      <c r="AG88" s="52">
        <f>SUM(Tabla63[[#This Row],[ENERO]:[DICIEMBRE]])</f>
        <v>0</v>
      </c>
      <c r="AI88" s="48" t="s">
        <v>51</v>
      </c>
      <c r="AJ88" s="47">
        <v>85</v>
      </c>
      <c r="AK88" s="177" t="s">
        <v>155</v>
      </c>
      <c r="AL88" s="170">
        <f>[2]P085!$B$5</f>
        <v>177600</v>
      </c>
      <c r="AM88" s="170">
        <f>[1]P085!$B$6</f>
        <v>177600</v>
      </c>
      <c r="AN88" s="170">
        <v>0</v>
      </c>
      <c r="AO88" s="170">
        <v>0</v>
      </c>
      <c r="AP88" s="17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45">
        <f>SUM(Tabla634[[#This Row],[ENERO]:[DICIEMBRE]])</f>
        <v>355200</v>
      </c>
    </row>
    <row r="89" spans="1:50">
      <c r="A89" s="37" t="s">
        <v>51</v>
      </c>
      <c r="B89" s="36">
        <v>86</v>
      </c>
      <c r="C89" s="177" t="s">
        <v>156</v>
      </c>
      <c r="D89" s="76">
        <f>[1]P086!$K$5</f>
        <v>518900</v>
      </c>
      <c r="E89" s="76">
        <f>[1]P086!$K$6</f>
        <v>518900</v>
      </c>
      <c r="P89" s="42">
        <f>SUM(Tabla6[[#This Row],[ENERO]:[DICIEMBRE]])</f>
        <v>1037800</v>
      </c>
      <c r="R89" s="48" t="s">
        <v>51</v>
      </c>
      <c r="S89" s="47">
        <v>86</v>
      </c>
      <c r="T89" s="177" t="s">
        <v>156</v>
      </c>
      <c r="U89" s="50">
        <f>[1]P086!$L$5</f>
        <v>0</v>
      </c>
      <c r="V89" s="50">
        <f>[1]P086!$L$6</f>
        <v>0</v>
      </c>
      <c r="W89" s="50"/>
      <c r="X89" s="50">
        <v>0</v>
      </c>
      <c r="Y89" s="50">
        <v>0</v>
      </c>
      <c r="Z89" s="50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0</v>
      </c>
      <c r="AF89" s="53">
        <v>0</v>
      </c>
      <c r="AG89" s="52">
        <f>SUM(Tabla63[[#This Row],[ENERO]:[DICIEMBRE]])</f>
        <v>0</v>
      </c>
      <c r="AI89" s="48" t="s">
        <v>51</v>
      </c>
      <c r="AJ89" s="47">
        <v>86</v>
      </c>
      <c r="AK89" s="177" t="s">
        <v>156</v>
      </c>
      <c r="AL89" s="170">
        <f>[2]P086!$B$5</f>
        <v>518900</v>
      </c>
      <c r="AM89" s="170">
        <f>[1]P086!$B$6</f>
        <v>518900</v>
      </c>
      <c r="AN89" s="170">
        <v>0</v>
      </c>
      <c r="AO89" s="170">
        <v>0</v>
      </c>
      <c r="AP89" s="17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45">
        <f>SUM(Tabla634[[#This Row],[ENERO]:[DICIEMBRE]])</f>
        <v>1037800</v>
      </c>
    </row>
    <row r="90" spans="1:50" hidden="1">
      <c r="A90" s="37" t="s">
        <v>51</v>
      </c>
      <c r="B90" s="36">
        <v>87</v>
      </c>
      <c r="D90" s="76">
        <f>[1]P001!$K$5</f>
        <v>0</v>
      </c>
      <c r="E90" s="76">
        <f>[1]P001!$K$5</f>
        <v>0</v>
      </c>
      <c r="P90" s="42">
        <f>SUM(Tabla6[[#This Row],[ENERO]:[DICIEMBRE]])</f>
        <v>0</v>
      </c>
      <c r="R90" s="48" t="s">
        <v>51</v>
      </c>
      <c r="S90" s="47">
        <v>87</v>
      </c>
      <c r="T90" s="177"/>
      <c r="U90" s="50">
        <f>[3]P087!$L$5</f>
        <v>0</v>
      </c>
      <c r="V90" s="50">
        <f>[3]P087!$L$5</f>
        <v>0</v>
      </c>
      <c r="W90" s="50"/>
      <c r="X90" s="50">
        <f>[3]P087!$L$8</f>
        <v>0</v>
      </c>
      <c r="Y90" s="50">
        <f>[3]P087!$L$9</f>
        <v>0</v>
      </c>
      <c r="Z90" s="50">
        <v>0</v>
      </c>
      <c r="AA90" s="53">
        <v>0</v>
      </c>
      <c r="AB90" s="53">
        <v>0</v>
      </c>
      <c r="AC90" s="53">
        <v>0</v>
      </c>
      <c r="AD90" s="53">
        <v>0</v>
      </c>
      <c r="AE90" s="53">
        <v>0</v>
      </c>
      <c r="AF90" s="53">
        <v>0</v>
      </c>
      <c r="AG90" s="52">
        <f>SUM(Tabla63[[#This Row],[ENERO]:[DICIEMBRE]])</f>
        <v>0</v>
      </c>
      <c r="AI90" s="48" t="s">
        <v>51</v>
      </c>
      <c r="AJ90" s="47">
        <v>87</v>
      </c>
      <c r="AK90" s="177"/>
      <c r="AL90" s="170">
        <v>0</v>
      </c>
      <c r="AM90" s="170">
        <f>[1]P005!$B$6</f>
        <v>177600</v>
      </c>
      <c r="AN90" s="170">
        <v>0</v>
      </c>
      <c r="AO90" s="170">
        <v>0</v>
      </c>
      <c r="AP90" s="170">
        <v>0</v>
      </c>
      <c r="AQ90" s="50">
        <v>0</v>
      </c>
      <c r="AR90" s="50">
        <v>0</v>
      </c>
      <c r="AS90" s="50">
        <v>0</v>
      </c>
      <c r="AT90" s="50">
        <v>0</v>
      </c>
      <c r="AU90" s="50">
        <v>0</v>
      </c>
      <c r="AV90" s="50">
        <v>0</v>
      </c>
      <c r="AW90" s="50">
        <v>0</v>
      </c>
      <c r="AX90" s="45">
        <f>SUM(Tabla634[[#This Row],[ENERO]:[DICIEMBRE]])</f>
        <v>177600</v>
      </c>
    </row>
    <row r="91" spans="1:50" hidden="1">
      <c r="A91" s="37" t="s">
        <v>51</v>
      </c>
      <c r="B91" s="36">
        <v>88</v>
      </c>
      <c r="D91" s="76">
        <f>[1]P001!$K$5</f>
        <v>0</v>
      </c>
      <c r="E91" s="76">
        <f>[1]P001!$K$5</f>
        <v>0</v>
      </c>
      <c r="P91" s="42">
        <f>SUM(Tabla6[[#This Row],[ENERO]:[DICIEMBRE]])</f>
        <v>0</v>
      </c>
      <c r="R91" s="48" t="s">
        <v>51</v>
      </c>
      <c r="S91" s="47">
        <v>88</v>
      </c>
      <c r="T91" s="177"/>
      <c r="U91" s="50">
        <f>[3]P088!$L$5</f>
        <v>0</v>
      </c>
      <c r="V91" s="50">
        <f>[3]P088!$L$5</f>
        <v>0</v>
      </c>
      <c r="W91" s="50"/>
      <c r="X91" s="50">
        <f>[3]P088!$L$8</f>
        <v>0</v>
      </c>
      <c r="Y91" s="50">
        <f>[3]P088!$L$9</f>
        <v>0</v>
      </c>
      <c r="Z91" s="50">
        <v>0</v>
      </c>
      <c r="AA91" s="53">
        <v>0</v>
      </c>
      <c r="AB91" s="53">
        <v>0</v>
      </c>
      <c r="AC91" s="53">
        <v>0</v>
      </c>
      <c r="AD91" s="53">
        <v>0</v>
      </c>
      <c r="AE91" s="53">
        <v>0</v>
      </c>
      <c r="AF91" s="53">
        <v>0</v>
      </c>
      <c r="AG91" s="52">
        <f>SUM(Tabla63[[#This Row],[ENERO]:[DICIEMBRE]])</f>
        <v>0</v>
      </c>
      <c r="AI91" s="48" t="s">
        <v>51</v>
      </c>
      <c r="AJ91" s="47">
        <v>88</v>
      </c>
      <c r="AK91" s="177"/>
      <c r="AL91" s="170">
        <v>0</v>
      </c>
      <c r="AM91" s="170">
        <f>[1]P005!$B$6</f>
        <v>177600</v>
      </c>
      <c r="AN91" s="170">
        <v>0</v>
      </c>
      <c r="AO91" s="170">
        <v>0</v>
      </c>
      <c r="AP91" s="17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45">
        <f>SUM(Tabla634[[#This Row],[ENERO]:[DICIEMBRE]])</f>
        <v>177600</v>
      </c>
    </row>
    <row r="92" spans="1:50" hidden="1">
      <c r="A92" s="37" t="s">
        <v>51</v>
      </c>
      <c r="B92" s="36">
        <v>89</v>
      </c>
      <c r="D92" s="76">
        <f>[1]P001!$K$5</f>
        <v>0</v>
      </c>
      <c r="E92" s="76">
        <f>[1]P001!$K$5</f>
        <v>0</v>
      </c>
      <c r="P92" s="42">
        <f>SUM(Tabla6[[#This Row],[ENERO]:[DICIEMBRE]])</f>
        <v>0</v>
      </c>
      <c r="R92" s="48" t="s">
        <v>51</v>
      </c>
      <c r="S92" s="47">
        <v>89</v>
      </c>
      <c r="T92" s="177"/>
      <c r="U92" s="50">
        <f>[3]P089!$L$5</f>
        <v>0</v>
      </c>
      <c r="V92" s="50">
        <f>[3]P089!$L$5</f>
        <v>0</v>
      </c>
      <c r="W92" s="50"/>
      <c r="X92" s="50">
        <f>[3]P089!$L$8</f>
        <v>0</v>
      </c>
      <c r="Y92" s="50">
        <f>[3]P089!$L$9</f>
        <v>0</v>
      </c>
      <c r="Z92" s="50">
        <v>0</v>
      </c>
      <c r="AA92" s="53">
        <v>0</v>
      </c>
      <c r="AB92" s="53">
        <v>0</v>
      </c>
      <c r="AC92" s="53">
        <v>0</v>
      </c>
      <c r="AD92" s="53">
        <v>0</v>
      </c>
      <c r="AE92" s="53">
        <v>0</v>
      </c>
      <c r="AF92" s="53">
        <v>0</v>
      </c>
      <c r="AG92" s="52">
        <f>SUM(Tabla63[[#This Row],[ENERO]:[DICIEMBRE]])</f>
        <v>0</v>
      </c>
      <c r="AI92" s="48" t="s">
        <v>51</v>
      </c>
      <c r="AJ92" s="47">
        <v>89</v>
      </c>
      <c r="AK92" s="177"/>
      <c r="AL92" s="170">
        <v>0</v>
      </c>
      <c r="AM92" s="170">
        <f>[1]P005!$B$6</f>
        <v>177600</v>
      </c>
      <c r="AN92" s="170">
        <v>0</v>
      </c>
      <c r="AO92" s="170">
        <v>0</v>
      </c>
      <c r="AP92" s="170">
        <v>0</v>
      </c>
      <c r="AQ92" s="50">
        <v>0</v>
      </c>
      <c r="AR92" s="50">
        <v>0</v>
      </c>
      <c r="AS92" s="50">
        <v>0</v>
      </c>
      <c r="AT92" s="50">
        <v>0</v>
      </c>
      <c r="AU92" s="50">
        <v>0</v>
      </c>
      <c r="AV92" s="50">
        <v>0</v>
      </c>
      <c r="AW92" s="50">
        <v>0</v>
      </c>
      <c r="AX92" s="45">
        <f>SUM(Tabla634[[#This Row],[ENERO]:[DICIEMBRE]])</f>
        <v>177600</v>
      </c>
    </row>
    <row r="93" spans="1:50" hidden="1">
      <c r="A93" s="37" t="s">
        <v>51</v>
      </c>
      <c r="B93" s="36">
        <v>90</v>
      </c>
      <c r="D93" s="76">
        <f>[1]P001!$K$5</f>
        <v>0</v>
      </c>
      <c r="E93" s="76">
        <f>[1]P001!$K$5</f>
        <v>0</v>
      </c>
      <c r="P93" s="42">
        <f>SUM(Tabla6[[#This Row],[ENERO]:[DICIEMBRE]])</f>
        <v>0</v>
      </c>
      <c r="R93" s="48" t="s">
        <v>51</v>
      </c>
      <c r="S93" s="47">
        <v>90</v>
      </c>
      <c r="T93" s="177"/>
      <c r="U93" s="50">
        <f>[3]P090!$L$5</f>
        <v>0</v>
      </c>
      <c r="V93" s="50">
        <f>[3]P090!$L$5</f>
        <v>0</v>
      </c>
      <c r="W93" s="50"/>
      <c r="X93" s="50">
        <f>[3]P090!$L$8</f>
        <v>0</v>
      </c>
      <c r="Y93" s="50">
        <f>[3]P090!$L$9</f>
        <v>0</v>
      </c>
      <c r="Z93" s="50">
        <v>0</v>
      </c>
      <c r="AA93" s="53">
        <v>0</v>
      </c>
      <c r="AB93" s="53">
        <v>0</v>
      </c>
      <c r="AC93" s="53">
        <v>0</v>
      </c>
      <c r="AD93" s="53">
        <v>0</v>
      </c>
      <c r="AE93" s="53">
        <v>0</v>
      </c>
      <c r="AF93" s="53">
        <v>0</v>
      </c>
      <c r="AG93" s="52">
        <f>SUM(Tabla63[[#This Row],[ENERO]:[DICIEMBRE]])</f>
        <v>0</v>
      </c>
      <c r="AI93" s="48" t="s">
        <v>51</v>
      </c>
      <c r="AJ93" s="47">
        <v>90</v>
      </c>
      <c r="AK93" s="177"/>
      <c r="AL93" s="170">
        <v>0</v>
      </c>
      <c r="AM93" s="170">
        <f>[1]P005!$B$6</f>
        <v>177600</v>
      </c>
      <c r="AN93" s="170">
        <v>0</v>
      </c>
      <c r="AO93" s="170">
        <v>0</v>
      </c>
      <c r="AP93" s="170">
        <v>0</v>
      </c>
      <c r="AQ93" s="50">
        <v>0</v>
      </c>
      <c r="AR93" s="50">
        <v>0</v>
      </c>
      <c r="AS93" s="50">
        <v>0</v>
      </c>
      <c r="AT93" s="50">
        <v>0</v>
      </c>
      <c r="AU93" s="50">
        <v>0</v>
      </c>
      <c r="AV93" s="50">
        <v>0</v>
      </c>
      <c r="AW93" s="50">
        <v>0</v>
      </c>
      <c r="AX93" s="45">
        <f>SUM(Tabla634[[#This Row],[ENERO]:[DICIEMBRE]])</f>
        <v>177600</v>
      </c>
    </row>
    <row r="94" spans="1:50" hidden="1">
      <c r="A94" s="37" t="s">
        <v>51</v>
      </c>
      <c r="B94" s="36">
        <v>91</v>
      </c>
      <c r="D94" s="76">
        <f>[1]P001!$K$5</f>
        <v>0</v>
      </c>
      <c r="E94" s="76">
        <f>[1]P001!$K$5</f>
        <v>0</v>
      </c>
      <c r="P94" s="42">
        <f>SUM(Tabla6[[#This Row],[ENERO]:[DICIEMBRE]])</f>
        <v>0</v>
      </c>
      <c r="R94" s="48" t="s">
        <v>51</v>
      </c>
      <c r="S94" s="47">
        <v>91</v>
      </c>
      <c r="T94" s="177"/>
      <c r="U94" s="50">
        <f>[3]P091!$L$5</f>
        <v>0</v>
      </c>
      <c r="V94" s="50">
        <f>[3]P091!$L$5</f>
        <v>0</v>
      </c>
      <c r="W94" s="50"/>
      <c r="X94" s="50">
        <f>[3]P091!$L$8</f>
        <v>0</v>
      </c>
      <c r="Y94" s="50">
        <f>[3]P091!$L$9</f>
        <v>0</v>
      </c>
      <c r="Z94" s="50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2">
        <f>SUM(Tabla63[[#This Row],[ENERO]:[DICIEMBRE]])</f>
        <v>0</v>
      </c>
      <c r="AI94" s="48" t="s">
        <v>51</v>
      </c>
      <c r="AJ94" s="47">
        <v>91</v>
      </c>
      <c r="AK94" s="177"/>
      <c r="AL94" s="170">
        <v>0</v>
      </c>
      <c r="AM94" s="170">
        <f>[1]P005!$B$6</f>
        <v>177600</v>
      </c>
      <c r="AN94" s="170">
        <v>0</v>
      </c>
      <c r="AO94" s="170">
        <v>0</v>
      </c>
      <c r="AP94" s="17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0</v>
      </c>
      <c r="AV94" s="50">
        <v>0</v>
      </c>
      <c r="AW94" s="50">
        <v>0</v>
      </c>
      <c r="AX94" s="45">
        <f>SUM(Tabla634[[#This Row],[ENERO]:[DICIEMBRE]])</f>
        <v>177600</v>
      </c>
    </row>
    <row r="95" spans="1:50" hidden="1">
      <c r="A95" s="37" t="s">
        <v>51</v>
      </c>
      <c r="B95" s="36">
        <v>92</v>
      </c>
      <c r="D95" s="76">
        <f>[1]P001!$K$5</f>
        <v>0</v>
      </c>
      <c r="E95" s="76">
        <f>[1]P001!$K$5</f>
        <v>0</v>
      </c>
      <c r="P95" s="42">
        <f>SUM(Tabla6[[#This Row],[ENERO]:[DICIEMBRE]])</f>
        <v>0</v>
      </c>
      <c r="R95" s="48" t="s">
        <v>51</v>
      </c>
      <c r="S95" s="47">
        <v>92</v>
      </c>
      <c r="T95" s="177"/>
      <c r="U95" s="50">
        <f>[3]P092!$L$5</f>
        <v>0</v>
      </c>
      <c r="V95" s="50">
        <f>[3]P092!$L$5</f>
        <v>0</v>
      </c>
      <c r="W95" s="50"/>
      <c r="X95" s="50">
        <f>[3]P092!$L$8</f>
        <v>0</v>
      </c>
      <c r="Y95" s="50">
        <f>[3]P092!$L$9</f>
        <v>0</v>
      </c>
      <c r="Z95" s="50">
        <v>0</v>
      </c>
      <c r="AA95" s="53">
        <v>0</v>
      </c>
      <c r="AB95" s="53">
        <v>0</v>
      </c>
      <c r="AC95" s="53">
        <v>0</v>
      </c>
      <c r="AD95" s="53">
        <v>0</v>
      </c>
      <c r="AE95" s="53">
        <v>0</v>
      </c>
      <c r="AF95" s="53">
        <v>0</v>
      </c>
      <c r="AG95" s="52">
        <f>SUM(Tabla63[[#This Row],[ENERO]:[DICIEMBRE]])</f>
        <v>0</v>
      </c>
      <c r="AI95" s="48" t="s">
        <v>51</v>
      </c>
      <c r="AJ95" s="47">
        <v>92</v>
      </c>
      <c r="AK95" s="177"/>
      <c r="AL95" s="170">
        <v>0</v>
      </c>
      <c r="AM95" s="170">
        <f>[1]P005!$B$6</f>
        <v>177600</v>
      </c>
      <c r="AN95" s="170">
        <v>0</v>
      </c>
      <c r="AO95" s="170">
        <v>0</v>
      </c>
      <c r="AP95" s="170">
        <v>0</v>
      </c>
      <c r="AQ95" s="50">
        <v>0</v>
      </c>
      <c r="AR95" s="50">
        <v>0</v>
      </c>
      <c r="AS95" s="50">
        <v>0</v>
      </c>
      <c r="AT95" s="50">
        <v>0</v>
      </c>
      <c r="AU95" s="50">
        <v>0</v>
      </c>
      <c r="AV95" s="50">
        <v>0</v>
      </c>
      <c r="AW95" s="50">
        <v>0</v>
      </c>
      <c r="AX95" s="45">
        <f>SUM(Tabla634[[#This Row],[ENERO]:[DICIEMBRE]])</f>
        <v>177600</v>
      </c>
    </row>
    <row r="96" spans="1:50" hidden="1">
      <c r="A96" s="37" t="s">
        <v>51</v>
      </c>
      <c r="B96" s="36">
        <v>93</v>
      </c>
      <c r="D96" s="76">
        <f>[1]P001!$K$5</f>
        <v>0</v>
      </c>
      <c r="E96" s="76">
        <f>[1]P001!$K$5</f>
        <v>0</v>
      </c>
      <c r="P96" s="42">
        <f>SUM(Tabla6[[#This Row],[ENERO]:[DICIEMBRE]])</f>
        <v>0</v>
      </c>
      <c r="R96" s="48" t="s">
        <v>51</v>
      </c>
      <c r="S96" s="47">
        <v>93</v>
      </c>
      <c r="T96" s="177"/>
      <c r="U96" s="50">
        <f>[3]P093!$L$5</f>
        <v>0</v>
      </c>
      <c r="V96" s="50">
        <f>[3]P093!$L$5</f>
        <v>0</v>
      </c>
      <c r="W96" s="50"/>
      <c r="X96" s="50">
        <f>[3]P093!$L$8</f>
        <v>0</v>
      </c>
      <c r="Y96" s="50">
        <f>[3]P093!$L$9</f>
        <v>0</v>
      </c>
      <c r="Z96" s="50">
        <v>0</v>
      </c>
      <c r="AA96" s="53">
        <v>0</v>
      </c>
      <c r="AB96" s="53">
        <v>0</v>
      </c>
      <c r="AC96" s="53">
        <v>0</v>
      </c>
      <c r="AD96" s="53">
        <v>0</v>
      </c>
      <c r="AE96" s="53">
        <v>0</v>
      </c>
      <c r="AF96" s="53">
        <v>0</v>
      </c>
      <c r="AG96" s="52">
        <f>SUM(Tabla63[[#This Row],[ENERO]:[DICIEMBRE]])</f>
        <v>0</v>
      </c>
      <c r="AI96" s="48" t="s">
        <v>51</v>
      </c>
      <c r="AJ96" s="47">
        <v>93</v>
      </c>
      <c r="AK96" s="177"/>
      <c r="AL96" s="170">
        <v>0</v>
      </c>
      <c r="AM96" s="170">
        <f>[1]P005!$B$6</f>
        <v>177600</v>
      </c>
      <c r="AN96" s="170">
        <v>0</v>
      </c>
      <c r="AO96" s="170">
        <v>0</v>
      </c>
      <c r="AP96" s="17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0</v>
      </c>
      <c r="AX96" s="45">
        <f>SUM(Tabla634[[#This Row],[ENERO]:[DICIEMBRE]])</f>
        <v>177600</v>
      </c>
    </row>
    <row r="97" spans="1:50" hidden="1">
      <c r="A97" s="37" t="s">
        <v>51</v>
      </c>
      <c r="B97" s="36">
        <v>94</v>
      </c>
      <c r="D97" s="76">
        <f>[1]P001!$K$5</f>
        <v>0</v>
      </c>
      <c r="E97" s="76">
        <f>[1]P001!$K$5</f>
        <v>0</v>
      </c>
      <c r="P97" s="42">
        <f>SUM(Tabla6[[#This Row],[ENERO]:[DICIEMBRE]])</f>
        <v>0</v>
      </c>
      <c r="R97" s="48" t="s">
        <v>51</v>
      </c>
      <c r="S97" s="47">
        <v>94</v>
      </c>
      <c r="T97" s="177"/>
      <c r="U97" s="50">
        <f>[3]P094!$L$5</f>
        <v>0</v>
      </c>
      <c r="V97" s="50">
        <f>[3]P094!$L$5</f>
        <v>0</v>
      </c>
      <c r="W97" s="50"/>
      <c r="X97" s="50">
        <f>[3]P094!$L$8</f>
        <v>0</v>
      </c>
      <c r="Y97" s="50">
        <f>[3]P094!$L$9</f>
        <v>0</v>
      </c>
      <c r="Z97" s="50">
        <v>0</v>
      </c>
      <c r="AA97" s="53">
        <v>0</v>
      </c>
      <c r="AB97" s="53">
        <v>0</v>
      </c>
      <c r="AC97" s="53">
        <v>0</v>
      </c>
      <c r="AD97" s="53">
        <v>0</v>
      </c>
      <c r="AE97" s="53">
        <v>0</v>
      </c>
      <c r="AF97" s="53">
        <v>0</v>
      </c>
      <c r="AG97" s="52">
        <f>SUM(Tabla63[[#This Row],[ENERO]:[DICIEMBRE]])</f>
        <v>0</v>
      </c>
      <c r="AI97" s="48" t="s">
        <v>51</v>
      </c>
      <c r="AJ97" s="47">
        <v>94</v>
      </c>
      <c r="AK97" s="177"/>
      <c r="AL97" s="170">
        <v>0</v>
      </c>
      <c r="AM97" s="170">
        <f>[1]P005!$B$6</f>
        <v>177600</v>
      </c>
      <c r="AN97" s="170">
        <v>0</v>
      </c>
      <c r="AO97" s="170">
        <v>0</v>
      </c>
      <c r="AP97" s="17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45">
        <f>SUM(Tabla634[[#This Row],[ENERO]:[DICIEMBRE]])</f>
        <v>177600</v>
      </c>
    </row>
    <row r="98" spans="1:50" hidden="1">
      <c r="A98" s="37" t="s">
        <v>51</v>
      </c>
      <c r="B98" s="36">
        <v>95</v>
      </c>
      <c r="D98" s="76">
        <f>[1]P001!$K$5</f>
        <v>0</v>
      </c>
      <c r="E98" s="76">
        <f>[1]P001!$K$5</f>
        <v>0</v>
      </c>
      <c r="P98" s="42">
        <f>SUM(Tabla6[[#This Row],[ENERO]:[DICIEMBRE]])</f>
        <v>0</v>
      </c>
      <c r="R98" s="48" t="s">
        <v>51</v>
      </c>
      <c r="S98" s="47">
        <v>95</v>
      </c>
      <c r="T98" s="177"/>
      <c r="U98" s="50">
        <f>[3]P095!$L$5</f>
        <v>0</v>
      </c>
      <c r="V98" s="50">
        <f>[3]P095!$L$5</f>
        <v>0</v>
      </c>
      <c r="W98" s="50"/>
      <c r="X98" s="50">
        <f>[3]P095!$L$8</f>
        <v>0</v>
      </c>
      <c r="Y98" s="50">
        <f>[3]P095!$L$9</f>
        <v>0</v>
      </c>
      <c r="Z98" s="50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2">
        <f>SUM(Tabla63[[#This Row],[ENERO]:[DICIEMBRE]])</f>
        <v>0</v>
      </c>
      <c r="AI98" s="48" t="s">
        <v>51</v>
      </c>
      <c r="AJ98" s="47">
        <v>95</v>
      </c>
      <c r="AK98" s="177"/>
      <c r="AL98" s="170">
        <v>0</v>
      </c>
      <c r="AM98" s="170">
        <f>[1]P005!$B$6</f>
        <v>177600</v>
      </c>
      <c r="AN98" s="170">
        <v>0</v>
      </c>
      <c r="AO98" s="170">
        <v>0</v>
      </c>
      <c r="AP98" s="170">
        <v>0</v>
      </c>
      <c r="AQ98" s="50">
        <v>0</v>
      </c>
      <c r="AR98" s="50">
        <v>0</v>
      </c>
      <c r="AS98" s="50">
        <v>0</v>
      </c>
      <c r="AT98" s="50">
        <v>0</v>
      </c>
      <c r="AU98" s="50">
        <v>0</v>
      </c>
      <c r="AV98" s="50">
        <v>0</v>
      </c>
      <c r="AW98" s="50">
        <v>0</v>
      </c>
      <c r="AX98" s="45">
        <f>SUM(Tabla634[[#This Row],[ENERO]:[DICIEMBRE]])</f>
        <v>177600</v>
      </c>
    </row>
    <row r="99" spans="1:50" hidden="1">
      <c r="A99" s="37" t="s">
        <v>51</v>
      </c>
      <c r="B99" s="36">
        <v>96</v>
      </c>
      <c r="D99" s="76">
        <f>[1]P001!$K$5</f>
        <v>0</v>
      </c>
      <c r="E99" s="76">
        <f>[1]P001!$K$5</f>
        <v>0</v>
      </c>
      <c r="P99" s="42">
        <f>SUM(Tabla6[[#This Row],[ENERO]:[DICIEMBRE]])</f>
        <v>0</v>
      </c>
      <c r="R99" s="48" t="s">
        <v>51</v>
      </c>
      <c r="S99" s="47">
        <v>96</v>
      </c>
      <c r="T99" s="177"/>
      <c r="U99" s="50">
        <f>[3]P096!$L$5</f>
        <v>0</v>
      </c>
      <c r="V99" s="50">
        <f>[3]P096!$L$5</f>
        <v>0</v>
      </c>
      <c r="W99" s="50"/>
      <c r="X99" s="50">
        <f>[3]P096!$L$8</f>
        <v>0</v>
      </c>
      <c r="Y99" s="50">
        <f>[3]P096!$L$9</f>
        <v>0</v>
      </c>
      <c r="Z99" s="50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2">
        <f>SUM(Tabla63[[#This Row],[ENERO]:[DICIEMBRE]])</f>
        <v>0</v>
      </c>
      <c r="AI99" s="48" t="s">
        <v>51</v>
      </c>
      <c r="AJ99" s="47">
        <v>96</v>
      </c>
      <c r="AK99" s="177"/>
      <c r="AL99" s="170">
        <v>0</v>
      </c>
      <c r="AM99" s="170">
        <f>[1]P005!$B$6</f>
        <v>177600</v>
      </c>
      <c r="AN99" s="170">
        <v>0</v>
      </c>
      <c r="AO99" s="170">
        <v>0</v>
      </c>
      <c r="AP99" s="17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45">
        <f>SUM(Tabla634[[#This Row],[ENERO]:[DICIEMBRE]])</f>
        <v>177600</v>
      </c>
    </row>
    <row r="100" spans="1:50" hidden="1">
      <c r="A100" s="37" t="s">
        <v>51</v>
      </c>
      <c r="B100" s="36">
        <v>97</v>
      </c>
      <c r="D100" s="76">
        <f>[1]P001!$K$5</f>
        <v>0</v>
      </c>
      <c r="E100" s="76">
        <f>[1]P001!$K$5</f>
        <v>0</v>
      </c>
      <c r="P100" s="42">
        <f>SUM(Tabla6[[#This Row],[ENERO]:[DICIEMBRE]])</f>
        <v>0</v>
      </c>
      <c r="R100" s="48" t="s">
        <v>51</v>
      </c>
      <c r="S100" s="47">
        <v>97</v>
      </c>
      <c r="T100" s="177"/>
      <c r="U100" s="50">
        <f>[3]P097!$L$5</f>
        <v>0</v>
      </c>
      <c r="V100" s="50">
        <f>[3]P097!$L$5</f>
        <v>0</v>
      </c>
      <c r="W100" s="50"/>
      <c r="X100" s="50">
        <f>[3]P097!$L$8</f>
        <v>0</v>
      </c>
      <c r="Y100" s="50">
        <f>[3]P097!$L$9</f>
        <v>0</v>
      </c>
      <c r="Z100" s="50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2">
        <f>SUM(Tabla63[[#This Row],[ENERO]:[DICIEMBRE]])</f>
        <v>0</v>
      </c>
      <c r="AI100" s="48" t="s">
        <v>51</v>
      </c>
      <c r="AJ100" s="47">
        <v>97</v>
      </c>
      <c r="AK100" s="177"/>
      <c r="AL100" s="170">
        <v>0</v>
      </c>
      <c r="AM100" s="170">
        <f>[1]P005!$B$6</f>
        <v>177600</v>
      </c>
      <c r="AN100" s="170">
        <v>0</v>
      </c>
      <c r="AO100" s="170">
        <v>0</v>
      </c>
      <c r="AP100" s="17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45">
        <f>SUM(Tabla634[[#This Row],[ENERO]:[DICIEMBRE]])</f>
        <v>177600</v>
      </c>
    </row>
    <row r="101" spans="1:50" hidden="1">
      <c r="A101" s="37" t="s">
        <v>51</v>
      </c>
      <c r="B101" s="36">
        <v>98</v>
      </c>
      <c r="D101" s="76">
        <f>[1]P001!$K$5</f>
        <v>0</v>
      </c>
      <c r="E101" s="76">
        <f>[1]P001!$K$5</f>
        <v>0</v>
      </c>
      <c r="P101" s="42">
        <f>SUM(Tabla6[[#This Row],[ENERO]:[DICIEMBRE]])</f>
        <v>0</v>
      </c>
      <c r="R101" s="48" t="s">
        <v>51</v>
      </c>
      <c r="S101" s="47">
        <v>98</v>
      </c>
      <c r="T101" s="177"/>
      <c r="U101" s="50">
        <f>[3]P098!$L$5</f>
        <v>0</v>
      </c>
      <c r="V101" s="50">
        <f>[3]P098!$L$5</f>
        <v>0</v>
      </c>
      <c r="W101" s="50"/>
      <c r="X101" s="50">
        <f>[3]P098!$L$8</f>
        <v>0</v>
      </c>
      <c r="Y101" s="50">
        <f>[3]P098!$L$9</f>
        <v>0</v>
      </c>
      <c r="Z101" s="50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2">
        <f>SUM(Tabla63[[#This Row],[ENERO]:[DICIEMBRE]])</f>
        <v>0</v>
      </c>
      <c r="AI101" s="48" t="s">
        <v>51</v>
      </c>
      <c r="AJ101" s="47">
        <v>98</v>
      </c>
      <c r="AK101" s="177"/>
      <c r="AL101" s="170">
        <v>0</v>
      </c>
      <c r="AM101" s="170">
        <f>[1]P005!$B$6</f>
        <v>177600</v>
      </c>
      <c r="AN101" s="170">
        <v>0</v>
      </c>
      <c r="AO101" s="170">
        <v>0</v>
      </c>
      <c r="AP101" s="170">
        <v>0</v>
      </c>
      <c r="AQ101" s="50">
        <v>0</v>
      </c>
      <c r="AR101" s="50">
        <v>0</v>
      </c>
      <c r="AS101" s="50">
        <v>0</v>
      </c>
      <c r="AT101" s="50">
        <v>0</v>
      </c>
      <c r="AU101" s="50">
        <v>0</v>
      </c>
      <c r="AV101" s="50">
        <v>0</v>
      </c>
      <c r="AW101" s="50">
        <v>0</v>
      </c>
      <c r="AX101" s="45">
        <f>SUM(Tabla634[[#This Row],[ENERO]:[DICIEMBRE]])</f>
        <v>177600</v>
      </c>
    </row>
    <row r="102" spans="1:50">
      <c r="A102" s="37" t="s">
        <v>51</v>
      </c>
      <c r="B102" s="36">
        <v>99</v>
      </c>
      <c r="C102" s="177" t="s">
        <v>33</v>
      </c>
      <c r="D102" s="76">
        <f>[1]P099!$K$5</f>
        <v>0</v>
      </c>
      <c r="E102" s="76">
        <f>[1]P099!$K$6</f>
        <v>0</v>
      </c>
      <c r="P102" s="42">
        <f>SUM(Tabla6[[#This Row],[ENERO]:[DICIEMBRE]])</f>
        <v>0</v>
      </c>
      <c r="R102" s="48" t="s">
        <v>51</v>
      </c>
      <c r="S102" s="47">
        <v>99</v>
      </c>
      <c r="T102" s="177" t="s">
        <v>33</v>
      </c>
      <c r="U102" s="50">
        <f>[1]P099!$L$5</f>
        <v>1612200</v>
      </c>
      <c r="V102" s="50">
        <f>[1]P099!$L$6</f>
        <v>1612200</v>
      </c>
      <c r="W102" s="50"/>
      <c r="X102" s="50">
        <v>0</v>
      </c>
      <c r="Y102" s="50">
        <v>0</v>
      </c>
      <c r="Z102" s="50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2">
        <f>SUM(Tabla63[[#This Row],[ENERO]:[DICIEMBRE]])</f>
        <v>3224400</v>
      </c>
      <c r="AI102" s="48" t="s">
        <v>51</v>
      </c>
      <c r="AJ102" s="47">
        <v>99</v>
      </c>
      <c r="AK102" s="177" t="s">
        <v>33</v>
      </c>
      <c r="AL102" s="170">
        <f>[2]P099!$B$5</f>
        <v>1612200</v>
      </c>
      <c r="AM102" s="170">
        <f>[1]P099!$B$6</f>
        <v>1612200</v>
      </c>
      <c r="AN102" s="170">
        <v>0</v>
      </c>
      <c r="AO102" s="170">
        <v>0</v>
      </c>
      <c r="AP102" s="17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45">
        <f>SUM(Tabla634[[#This Row],[ENERO]:[DICIEMBRE]])</f>
        <v>3224400</v>
      </c>
    </row>
    <row r="103" spans="1:50" hidden="1">
      <c r="A103" s="37" t="s">
        <v>51</v>
      </c>
      <c r="B103" s="36">
        <v>100</v>
      </c>
      <c r="D103" s="76">
        <f>[1]P001!$K$5</f>
        <v>0</v>
      </c>
      <c r="E103" s="76">
        <f>[1]P001!$K$5</f>
        <v>0</v>
      </c>
      <c r="P103" s="42">
        <f>SUM(Tabla6[[#This Row],[ENERO]:[DICIEMBRE]])</f>
        <v>0</v>
      </c>
      <c r="R103" s="48" t="s">
        <v>51</v>
      </c>
      <c r="S103" s="47">
        <v>100</v>
      </c>
      <c r="T103" s="177"/>
      <c r="U103" s="50">
        <f>[3]P100!$L$5</f>
        <v>0</v>
      </c>
      <c r="V103" s="50">
        <f>[3]P100!$L$5</f>
        <v>0</v>
      </c>
      <c r="W103" s="50"/>
      <c r="X103" s="50">
        <f>[3]P100!$L$8</f>
        <v>0</v>
      </c>
      <c r="Y103" s="50">
        <f>[3]P100!$L$9</f>
        <v>0</v>
      </c>
      <c r="Z103" s="50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2">
        <f>SUM(Tabla63[[#This Row],[ENERO]:[DICIEMBRE]])</f>
        <v>0</v>
      </c>
      <c r="AI103" s="48" t="s">
        <v>51</v>
      </c>
      <c r="AJ103" s="47">
        <v>100</v>
      </c>
      <c r="AK103" s="177"/>
      <c r="AL103" s="170">
        <f>[2]P099!$B$5</f>
        <v>1612200</v>
      </c>
      <c r="AM103" s="170">
        <f>[1]P005!$B$6</f>
        <v>177600</v>
      </c>
      <c r="AN103" s="170">
        <v>0</v>
      </c>
      <c r="AO103" s="170">
        <v>0</v>
      </c>
      <c r="AP103" s="170">
        <v>0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45">
        <f>SUM(Tabla634[[#This Row],[ENERO]:[DICIEMBRE]])</f>
        <v>1789800</v>
      </c>
    </row>
    <row r="104" spans="1:50" hidden="1">
      <c r="A104" s="37" t="s">
        <v>51</v>
      </c>
      <c r="B104" s="36">
        <v>101</v>
      </c>
      <c r="D104" s="76">
        <f>[1]P001!$K$5</f>
        <v>0</v>
      </c>
      <c r="E104" s="76">
        <f>[1]P001!$K$5</f>
        <v>0</v>
      </c>
      <c r="P104" s="42">
        <f>SUM(Tabla6[[#This Row],[ENERO]:[DICIEMBRE]])</f>
        <v>0</v>
      </c>
      <c r="R104" s="48" t="s">
        <v>51</v>
      </c>
      <c r="S104" s="47">
        <v>101</v>
      </c>
      <c r="T104" s="177"/>
      <c r="U104" s="50">
        <f>[3]P101!$L$5</f>
        <v>0</v>
      </c>
      <c r="V104" s="50">
        <f>[3]P101!$L$5</f>
        <v>0</v>
      </c>
      <c r="W104" s="50"/>
      <c r="X104" s="50">
        <f>[3]P101!$L$8</f>
        <v>0</v>
      </c>
      <c r="Y104" s="50">
        <f>[3]P101!$L$9</f>
        <v>0</v>
      </c>
      <c r="Z104" s="50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2">
        <f>SUM(Tabla63[[#This Row],[ENERO]:[DICIEMBRE]])</f>
        <v>0</v>
      </c>
      <c r="AI104" s="48" t="s">
        <v>51</v>
      </c>
      <c r="AJ104" s="47">
        <v>101</v>
      </c>
      <c r="AK104" s="177"/>
      <c r="AL104" s="170">
        <f>[2]P099!$B$5</f>
        <v>1612200</v>
      </c>
      <c r="AM104" s="170">
        <f>[1]P005!$B$6</f>
        <v>177600</v>
      </c>
      <c r="AN104" s="170">
        <v>0</v>
      </c>
      <c r="AO104" s="170">
        <v>0</v>
      </c>
      <c r="AP104" s="170">
        <v>0</v>
      </c>
      <c r="AQ104" s="50">
        <v>0</v>
      </c>
      <c r="AR104" s="50">
        <v>0</v>
      </c>
      <c r="AS104" s="50">
        <v>0</v>
      </c>
      <c r="AT104" s="50">
        <v>0</v>
      </c>
      <c r="AU104" s="50">
        <v>0</v>
      </c>
      <c r="AV104" s="50">
        <v>0</v>
      </c>
      <c r="AW104" s="50">
        <v>0</v>
      </c>
      <c r="AX104" s="45">
        <f>SUM(Tabla634[[#This Row],[ENERO]:[DICIEMBRE]])</f>
        <v>1789800</v>
      </c>
    </row>
    <row r="105" spans="1:50">
      <c r="A105" s="37" t="s">
        <v>51</v>
      </c>
      <c r="B105" s="36">
        <v>102</v>
      </c>
      <c r="C105" s="416" t="s">
        <v>261</v>
      </c>
      <c r="D105" s="76">
        <f>[1]P001!$K$5</f>
        <v>0</v>
      </c>
      <c r="E105" s="76">
        <f>[1]P001!$K$6</f>
        <v>0</v>
      </c>
      <c r="P105" s="42">
        <f>SUM(Tabla6[[#This Row],[ENERO]:[DICIEMBRE]])</f>
        <v>0</v>
      </c>
      <c r="R105" s="48" t="s">
        <v>51</v>
      </c>
      <c r="S105" s="47">
        <v>102</v>
      </c>
      <c r="T105" s="408" t="s">
        <v>236</v>
      </c>
      <c r="U105" s="50">
        <f>[1]P102!$L$5</f>
        <v>177600</v>
      </c>
      <c r="V105" s="50">
        <f>[1]P102!$L$6</f>
        <v>177600</v>
      </c>
      <c r="W105" s="50"/>
      <c r="X105" s="50">
        <f>[3]P102!$L$8</f>
        <v>0</v>
      </c>
      <c r="Y105" s="50">
        <f>[3]P102!$L$9</f>
        <v>0</v>
      </c>
      <c r="Z105" s="50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2">
        <f>SUM(Tabla63[[#This Row],[ENERO]:[DICIEMBRE]])</f>
        <v>355200</v>
      </c>
      <c r="AI105" s="48" t="s">
        <v>51</v>
      </c>
      <c r="AJ105" s="47">
        <v>102</v>
      </c>
      <c r="AK105" s="416" t="s">
        <v>261</v>
      </c>
      <c r="AL105" s="170">
        <f>[1]P102!$B$5</f>
        <v>177600</v>
      </c>
      <c r="AM105" s="170">
        <f>[1]P102!$B$6</f>
        <v>177600</v>
      </c>
      <c r="AN105" s="170">
        <v>0</v>
      </c>
      <c r="AO105" s="170">
        <v>0</v>
      </c>
      <c r="AP105" s="170">
        <v>0</v>
      </c>
      <c r="AQ105" s="50">
        <v>0</v>
      </c>
      <c r="AR105" s="50">
        <v>0</v>
      </c>
      <c r="AS105" s="50">
        <v>0</v>
      </c>
      <c r="AT105" s="50">
        <v>0</v>
      </c>
      <c r="AU105" s="50">
        <v>0</v>
      </c>
      <c r="AV105" s="50">
        <v>0</v>
      </c>
      <c r="AW105" s="50">
        <v>0</v>
      </c>
      <c r="AX105" s="45">
        <f>SUM(Tabla634[[#This Row],[ENERO]:[DICIEMBRE]])</f>
        <v>355200</v>
      </c>
    </row>
    <row r="106" spans="1:50">
      <c r="A106" s="37" t="s">
        <v>51</v>
      </c>
      <c r="B106" s="36">
        <v>103</v>
      </c>
      <c r="C106" s="401" t="s">
        <v>227</v>
      </c>
      <c r="D106" s="76">
        <f>[1]P103!$K$5</f>
        <v>0</v>
      </c>
      <c r="E106" s="76">
        <f>[1]P103!$K$6</f>
        <v>177600</v>
      </c>
      <c r="P106" s="42">
        <f>SUM(Tabla6[[#This Row],[ENERO]:[DICIEMBRE]])</f>
        <v>177600</v>
      </c>
      <c r="R106" s="48" t="s">
        <v>51</v>
      </c>
      <c r="S106" s="47">
        <v>103</v>
      </c>
      <c r="T106" s="401" t="s">
        <v>227</v>
      </c>
      <c r="U106" s="50">
        <f>[1]P103!$L$5</f>
        <v>177600</v>
      </c>
      <c r="V106" s="50">
        <f>[1]P103!$L$6</f>
        <v>0</v>
      </c>
      <c r="W106" s="50"/>
      <c r="X106" s="50">
        <v>0</v>
      </c>
      <c r="Y106" s="50">
        <v>0</v>
      </c>
      <c r="Z106" s="50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2">
        <f>SUM(Tabla63[[#This Row],[ENERO]:[DICIEMBRE]])</f>
        <v>177600</v>
      </c>
      <c r="AI106" s="48" t="s">
        <v>51</v>
      </c>
      <c r="AJ106" s="47">
        <v>103</v>
      </c>
      <c r="AK106" s="401" t="s">
        <v>226</v>
      </c>
      <c r="AL106" s="170">
        <f>[2]P103!$B$5</f>
        <v>177600</v>
      </c>
      <c r="AM106" s="170">
        <f>[1]P103!$B$6</f>
        <v>177600</v>
      </c>
      <c r="AN106" s="170">
        <v>0</v>
      </c>
      <c r="AO106" s="170">
        <v>0</v>
      </c>
      <c r="AP106" s="170">
        <v>0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>
        <v>0</v>
      </c>
      <c r="AW106" s="50">
        <v>0</v>
      </c>
      <c r="AX106" s="45">
        <f>SUM(Tabla634[[#This Row],[ENERO]:[DICIEMBRE]])</f>
        <v>355200</v>
      </c>
    </row>
    <row r="107" spans="1:50" hidden="1">
      <c r="A107" s="37" t="s">
        <v>51</v>
      </c>
      <c r="B107" s="36">
        <v>104</v>
      </c>
      <c r="D107" s="76">
        <f>[1]P001!$K$5</f>
        <v>0</v>
      </c>
      <c r="E107" s="76">
        <f>[1]P001!$K$5</f>
        <v>0</v>
      </c>
      <c r="P107" s="42">
        <f>SUM(Tabla6[[#This Row],[ENERO]:[DICIEMBRE]])</f>
        <v>0</v>
      </c>
      <c r="R107" s="48" t="s">
        <v>51</v>
      </c>
      <c r="S107" s="47">
        <v>104</v>
      </c>
      <c r="T107" s="177"/>
      <c r="U107" s="50">
        <f>[3]P104!$L$5</f>
        <v>0</v>
      </c>
      <c r="V107" s="50">
        <f>[3]P104!$L$5</f>
        <v>0</v>
      </c>
      <c r="W107" s="50"/>
      <c r="X107" s="50">
        <f>[3]P104!$L$8</f>
        <v>0</v>
      </c>
      <c r="Y107" s="50">
        <f>[3]P104!$L$9</f>
        <v>0</v>
      </c>
      <c r="Z107" s="50">
        <v>0</v>
      </c>
      <c r="AA107" s="53">
        <v>0</v>
      </c>
      <c r="AB107" s="53">
        <v>0</v>
      </c>
      <c r="AC107" s="53">
        <v>0</v>
      </c>
      <c r="AD107" s="53">
        <v>0</v>
      </c>
      <c r="AE107" s="53">
        <v>0</v>
      </c>
      <c r="AF107" s="53">
        <v>0</v>
      </c>
      <c r="AG107" s="52">
        <f>SUM(Tabla63[[#This Row],[ENERO]:[DICIEMBRE]])</f>
        <v>0</v>
      </c>
      <c r="AI107" s="48" t="s">
        <v>51</v>
      </c>
      <c r="AJ107" s="47">
        <v>104</v>
      </c>
      <c r="AK107" s="177"/>
      <c r="AL107" s="170">
        <v>0</v>
      </c>
      <c r="AM107" s="170">
        <f>[1]P005!$B$6</f>
        <v>177600</v>
      </c>
      <c r="AN107" s="170">
        <v>0</v>
      </c>
      <c r="AO107" s="170">
        <v>0</v>
      </c>
      <c r="AP107" s="170">
        <v>0</v>
      </c>
      <c r="AQ107" s="50">
        <v>0</v>
      </c>
      <c r="AR107" s="50">
        <v>0</v>
      </c>
      <c r="AS107" s="50">
        <v>0</v>
      </c>
      <c r="AT107" s="50">
        <v>0</v>
      </c>
      <c r="AU107" s="50">
        <v>0</v>
      </c>
      <c r="AV107" s="50">
        <v>0</v>
      </c>
      <c r="AW107" s="50">
        <v>0</v>
      </c>
      <c r="AX107" s="45">
        <f>SUM(Tabla634[[#This Row],[ENERO]:[DICIEMBRE]])</f>
        <v>177600</v>
      </c>
    </row>
    <row r="108" spans="1:50" hidden="1">
      <c r="A108" s="37" t="s">
        <v>51</v>
      </c>
      <c r="B108" s="36">
        <v>105</v>
      </c>
      <c r="D108" s="76">
        <f>[1]P001!$K$5</f>
        <v>0</v>
      </c>
      <c r="E108" s="76">
        <f>[1]P001!$K$5</f>
        <v>0</v>
      </c>
      <c r="P108" s="42">
        <f>SUM(Tabla6[[#This Row],[ENERO]:[DICIEMBRE]])</f>
        <v>0</v>
      </c>
      <c r="R108" s="48" t="s">
        <v>51</v>
      </c>
      <c r="S108" s="47">
        <v>105</v>
      </c>
      <c r="T108" s="177"/>
      <c r="U108" s="50">
        <f>[3]P105!$L$5</f>
        <v>0</v>
      </c>
      <c r="V108" s="50">
        <f>[3]P105!$L$5</f>
        <v>0</v>
      </c>
      <c r="W108" s="50"/>
      <c r="X108" s="50">
        <f>[3]P105!$L$8</f>
        <v>0</v>
      </c>
      <c r="Y108" s="50">
        <f>[3]P105!$L$9</f>
        <v>0</v>
      </c>
      <c r="Z108" s="50">
        <v>0</v>
      </c>
      <c r="AA108" s="53">
        <v>0</v>
      </c>
      <c r="AB108" s="53">
        <v>0</v>
      </c>
      <c r="AC108" s="53">
        <v>0</v>
      </c>
      <c r="AD108" s="53">
        <v>0</v>
      </c>
      <c r="AE108" s="53">
        <v>0</v>
      </c>
      <c r="AF108" s="53">
        <v>0</v>
      </c>
      <c r="AG108" s="52">
        <f>SUM(Tabla63[[#This Row],[ENERO]:[DICIEMBRE]])</f>
        <v>0</v>
      </c>
      <c r="AI108" s="48" t="s">
        <v>51</v>
      </c>
      <c r="AJ108" s="47">
        <v>105</v>
      </c>
      <c r="AK108" s="177"/>
      <c r="AL108" s="170">
        <v>0</v>
      </c>
      <c r="AM108" s="170">
        <f>[1]P005!$B$6</f>
        <v>177600</v>
      </c>
      <c r="AN108" s="170">
        <v>0</v>
      </c>
      <c r="AO108" s="170">
        <v>0</v>
      </c>
      <c r="AP108" s="170">
        <v>0</v>
      </c>
      <c r="AQ108" s="50">
        <v>0</v>
      </c>
      <c r="AR108" s="50">
        <v>0</v>
      </c>
      <c r="AS108" s="50">
        <v>0</v>
      </c>
      <c r="AT108" s="50">
        <v>0</v>
      </c>
      <c r="AU108" s="50">
        <v>0</v>
      </c>
      <c r="AV108" s="50">
        <v>0</v>
      </c>
      <c r="AW108" s="50">
        <v>0</v>
      </c>
      <c r="AX108" s="45">
        <f>SUM(Tabla634[[#This Row],[ENERO]:[DICIEMBRE]])</f>
        <v>177600</v>
      </c>
    </row>
    <row r="109" spans="1:50" hidden="1">
      <c r="A109" s="37" t="s">
        <v>51</v>
      </c>
      <c r="B109" s="36">
        <v>106</v>
      </c>
      <c r="D109" s="76">
        <f>[1]P001!$K$5</f>
        <v>0</v>
      </c>
      <c r="E109" s="76">
        <f>[1]P001!$K$5</f>
        <v>0</v>
      </c>
      <c r="P109" s="42">
        <f>SUM(Tabla6[[#This Row],[ENERO]:[DICIEMBRE]])</f>
        <v>0</v>
      </c>
      <c r="R109" s="48" t="s">
        <v>51</v>
      </c>
      <c r="S109" s="47">
        <v>106</v>
      </c>
      <c r="T109" s="177"/>
      <c r="U109" s="50">
        <f>[3]P106!$L$5</f>
        <v>0</v>
      </c>
      <c r="V109" s="50">
        <f>[3]P106!$L$5</f>
        <v>0</v>
      </c>
      <c r="W109" s="50"/>
      <c r="X109" s="50">
        <f>[3]P106!$L$8</f>
        <v>0</v>
      </c>
      <c r="Y109" s="50">
        <f>[3]P106!$L$9</f>
        <v>0</v>
      </c>
      <c r="Z109" s="50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2">
        <f>SUM(Tabla63[[#This Row],[ENERO]:[DICIEMBRE]])</f>
        <v>0</v>
      </c>
      <c r="AI109" s="48" t="s">
        <v>51</v>
      </c>
      <c r="AJ109" s="47">
        <v>106</v>
      </c>
      <c r="AK109" s="177"/>
      <c r="AL109" s="170">
        <v>0</v>
      </c>
      <c r="AM109" s="170">
        <f>[1]P005!$B$6</f>
        <v>177600</v>
      </c>
      <c r="AN109" s="170">
        <v>0</v>
      </c>
      <c r="AO109" s="170">
        <v>0</v>
      </c>
      <c r="AP109" s="17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45">
        <f>SUM(Tabla634[[#This Row],[ENERO]:[DICIEMBRE]])</f>
        <v>177600</v>
      </c>
    </row>
    <row r="110" spans="1:50">
      <c r="A110" s="37" t="s">
        <v>51</v>
      </c>
      <c r="B110" s="36">
        <v>107</v>
      </c>
      <c r="C110" s="177" t="s">
        <v>171</v>
      </c>
      <c r="D110" s="76">
        <f>[1]P107!$K$5</f>
        <v>0</v>
      </c>
      <c r="E110" s="76">
        <f>[1]P107!$K$6</f>
        <v>354700</v>
      </c>
      <c r="P110" s="42">
        <f>SUM(Tabla6[[#This Row],[ENERO]:[DICIEMBRE]])</f>
        <v>354700</v>
      </c>
      <c r="R110" s="48" t="s">
        <v>51</v>
      </c>
      <c r="S110" s="47">
        <v>107</v>
      </c>
      <c r="T110" s="177" t="s">
        <v>171</v>
      </c>
      <c r="U110" s="50">
        <f>[3]P107!$L$5</f>
        <v>47600</v>
      </c>
      <c r="V110" s="50">
        <f>[3]P107!$L$6</f>
        <v>51400</v>
      </c>
      <c r="W110" s="50"/>
      <c r="X110" s="50">
        <v>0</v>
      </c>
      <c r="Y110" s="50">
        <v>0</v>
      </c>
      <c r="Z110" s="50">
        <v>0</v>
      </c>
      <c r="AA110" s="53">
        <v>0</v>
      </c>
      <c r="AB110" s="53">
        <v>0</v>
      </c>
      <c r="AC110" s="53">
        <v>0</v>
      </c>
      <c r="AD110" s="53">
        <v>0</v>
      </c>
      <c r="AE110" s="53">
        <v>0</v>
      </c>
      <c r="AF110" s="53">
        <v>0</v>
      </c>
      <c r="AG110" s="52">
        <f>SUM(Tabla63[[#This Row],[ENERO]:[DICIEMBRE]])</f>
        <v>99000</v>
      </c>
      <c r="AI110" s="48" t="s">
        <v>51</v>
      </c>
      <c r="AJ110" s="47">
        <v>107</v>
      </c>
      <c r="AK110" s="177" t="s">
        <v>171</v>
      </c>
      <c r="AL110" s="170">
        <f>[2]P107!$B$5</f>
        <v>355100</v>
      </c>
      <c r="AM110" s="170">
        <f>[1]P107!$B$6</f>
        <v>355100</v>
      </c>
      <c r="AN110" s="170">
        <v>0</v>
      </c>
      <c r="AO110" s="170">
        <v>0</v>
      </c>
      <c r="AP110" s="170">
        <v>0</v>
      </c>
      <c r="AQ110" s="50">
        <v>0</v>
      </c>
      <c r="AR110" s="50">
        <v>0</v>
      </c>
      <c r="AS110" s="50">
        <v>0</v>
      </c>
      <c r="AT110" s="50">
        <v>0</v>
      </c>
      <c r="AU110" s="50">
        <v>0</v>
      </c>
      <c r="AV110" s="50">
        <v>0</v>
      </c>
      <c r="AW110" s="50">
        <v>0</v>
      </c>
      <c r="AX110" s="45">
        <f>SUM(Tabla634[[#This Row],[ENERO]:[DICIEMBRE]])</f>
        <v>710200</v>
      </c>
    </row>
    <row r="111" spans="1:50" hidden="1">
      <c r="A111" s="37" t="s">
        <v>51</v>
      </c>
      <c r="B111" s="36">
        <v>108</v>
      </c>
      <c r="C111" s="177" t="s">
        <v>157</v>
      </c>
      <c r="D111" s="76">
        <f>[1]P001!$K$5</f>
        <v>0</v>
      </c>
      <c r="E111" s="76">
        <f>[1]P001!$K$5</f>
        <v>0</v>
      </c>
      <c r="P111" s="42">
        <f>SUM(Tabla6[[#This Row],[ENERO]:[DICIEMBRE]])</f>
        <v>0</v>
      </c>
      <c r="R111" s="48" t="s">
        <v>51</v>
      </c>
      <c r="S111" s="47">
        <v>108</v>
      </c>
      <c r="T111" s="177" t="s">
        <v>157</v>
      </c>
      <c r="U111" s="50">
        <f>[3]P108!$L$5</f>
        <v>47600</v>
      </c>
      <c r="V111" s="50">
        <f>[3]P108!$L$5</f>
        <v>47600</v>
      </c>
      <c r="W111" s="50"/>
      <c r="X111" s="50">
        <f>[3]P108!$L$8</f>
        <v>69000</v>
      </c>
      <c r="Y111" s="50">
        <f>[3]P108!$L$9</f>
        <v>0</v>
      </c>
      <c r="Z111" s="50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2">
        <f>SUM(Tabla63[[#This Row],[ENERO]:[DICIEMBRE]])</f>
        <v>164200</v>
      </c>
      <c r="AI111" s="48" t="s">
        <v>51</v>
      </c>
      <c r="AJ111" s="47">
        <v>108</v>
      </c>
      <c r="AK111" s="177" t="s">
        <v>157</v>
      </c>
      <c r="AL111" s="170">
        <v>0</v>
      </c>
      <c r="AM111" s="170">
        <f>[1]P005!$B$6</f>
        <v>177600</v>
      </c>
      <c r="AN111" s="170">
        <v>0</v>
      </c>
      <c r="AO111" s="170">
        <v>0</v>
      </c>
      <c r="AP111" s="17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45">
        <f>SUM(Tabla634[[#This Row],[ENERO]:[DICIEMBRE]])</f>
        <v>177600</v>
      </c>
    </row>
    <row r="112" spans="1:50" hidden="1">
      <c r="A112" s="37" t="s">
        <v>51</v>
      </c>
      <c r="B112" s="36">
        <v>109</v>
      </c>
      <c r="D112" s="76">
        <f>[1]P001!$K$5</f>
        <v>0</v>
      </c>
      <c r="E112" s="76">
        <f>[1]P001!$K$5</f>
        <v>0</v>
      </c>
      <c r="P112" s="42">
        <f>SUM(Tabla6[[#This Row],[ENERO]:[DICIEMBRE]])</f>
        <v>0</v>
      </c>
      <c r="R112" s="48" t="s">
        <v>51</v>
      </c>
      <c r="S112" s="47">
        <v>109</v>
      </c>
      <c r="T112" s="177"/>
      <c r="U112" s="50">
        <f>[3]P109!$L$5</f>
        <v>0</v>
      </c>
      <c r="V112" s="50">
        <f>[3]P109!$L$5</f>
        <v>0</v>
      </c>
      <c r="W112" s="50"/>
      <c r="X112" s="50">
        <f>[3]P109!$L$8</f>
        <v>0</v>
      </c>
      <c r="Y112" s="50">
        <f>[3]P109!$L$9</f>
        <v>0</v>
      </c>
      <c r="Z112" s="50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2">
        <f>SUM(Tabla63[[#This Row],[ENERO]:[DICIEMBRE]])</f>
        <v>0</v>
      </c>
      <c r="AI112" s="48" t="s">
        <v>51</v>
      </c>
      <c r="AJ112" s="47">
        <v>109</v>
      </c>
      <c r="AK112" s="177"/>
      <c r="AL112" s="170">
        <v>0</v>
      </c>
      <c r="AM112" s="170">
        <f>[1]P005!$B$6</f>
        <v>177600</v>
      </c>
      <c r="AN112" s="170">
        <v>0</v>
      </c>
      <c r="AO112" s="170">
        <v>0</v>
      </c>
      <c r="AP112" s="17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45">
        <f>SUM(Tabla634[[#This Row],[ENERO]:[DICIEMBRE]])</f>
        <v>177600</v>
      </c>
    </row>
    <row r="113" spans="1:50" hidden="1">
      <c r="A113" s="37" t="s">
        <v>51</v>
      </c>
      <c r="B113" s="36">
        <v>110</v>
      </c>
      <c r="D113" s="76">
        <f>[1]P001!$K$5</f>
        <v>0</v>
      </c>
      <c r="E113" s="76">
        <f>[1]P001!$K$5</f>
        <v>0</v>
      </c>
      <c r="P113" s="42">
        <f>SUM(Tabla6[[#This Row],[ENERO]:[DICIEMBRE]])</f>
        <v>0</v>
      </c>
      <c r="R113" s="48" t="s">
        <v>51</v>
      </c>
      <c r="S113" s="47">
        <v>110</v>
      </c>
      <c r="T113" s="177"/>
      <c r="U113" s="50">
        <f>[3]P110!$L$5</f>
        <v>0</v>
      </c>
      <c r="V113" s="50">
        <f>[3]P110!$L$5</f>
        <v>0</v>
      </c>
      <c r="W113" s="50"/>
      <c r="X113" s="50">
        <f>[3]P110!$L$8</f>
        <v>0</v>
      </c>
      <c r="Y113" s="50">
        <f>[3]P110!$L$9</f>
        <v>0</v>
      </c>
      <c r="Z113" s="50">
        <v>0</v>
      </c>
      <c r="AA113" s="53">
        <v>0</v>
      </c>
      <c r="AB113" s="53">
        <v>0</v>
      </c>
      <c r="AC113" s="53">
        <v>0</v>
      </c>
      <c r="AD113" s="53">
        <v>0</v>
      </c>
      <c r="AE113" s="53">
        <v>0</v>
      </c>
      <c r="AF113" s="53">
        <v>0</v>
      </c>
      <c r="AG113" s="52">
        <f>SUM(Tabla63[[#This Row],[ENERO]:[DICIEMBRE]])</f>
        <v>0</v>
      </c>
      <c r="AI113" s="48" t="s">
        <v>51</v>
      </c>
      <c r="AJ113" s="47">
        <v>110</v>
      </c>
      <c r="AK113" s="177"/>
      <c r="AL113" s="170">
        <v>0</v>
      </c>
      <c r="AM113" s="170">
        <f>[1]P005!$B$6</f>
        <v>177600</v>
      </c>
      <c r="AN113" s="170">
        <v>0</v>
      </c>
      <c r="AO113" s="170">
        <v>0</v>
      </c>
      <c r="AP113" s="170">
        <v>0</v>
      </c>
      <c r="AQ113" s="50">
        <v>0</v>
      </c>
      <c r="AR113" s="50">
        <v>0</v>
      </c>
      <c r="AS113" s="50">
        <v>0</v>
      </c>
      <c r="AT113" s="50">
        <v>0</v>
      </c>
      <c r="AU113" s="50">
        <v>0</v>
      </c>
      <c r="AV113" s="50">
        <v>0</v>
      </c>
      <c r="AW113" s="50">
        <v>0</v>
      </c>
      <c r="AX113" s="45">
        <f>SUM(Tabla634[[#This Row],[ENERO]:[DICIEMBRE]])</f>
        <v>177600</v>
      </c>
    </row>
    <row r="114" spans="1:50">
      <c r="A114" s="37" t="s">
        <v>51</v>
      </c>
      <c r="B114" s="36">
        <v>111</v>
      </c>
      <c r="C114" s="407"/>
      <c r="D114" s="76">
        <f>[1]P111!$K$5</f>
        <v>353400</v>
      </c>
      <c r="E114" s="76">
        <f>[1]P111!$K$6</f>
        <v>353400</v>
      </c>
      <c r="P114" s="42">
        <f>SUM(Tabla6[[#This Row],[ENERO]:[DICIEMBRE]])</f>
        <v>706800</v>
      </c>
      <c r="R114" s="48" t="s">
        <v>51</v>
      </c>
      <c r="S114" s="47">
        <v>111</v>
      </c>
      <c r="T114" s="408" t="s">
        <v>237</v>
      </c>
      <c r="U114" s="50">
        <f>[2]P111!$L$5</f>
        <v>0</v>
      </c>
      <c r="V114" s="50">
        <f>[2]P111!$L$6</f>
        <v>0</v>
      </c>
      <c r="W114" s="50"/>
      <c r="X114" s="50">
        <v>0</v>
      </c>
      <c r="Y114" s="50">
        <v>0</v>
      </c>
      <c r="Z114" s="50">
        <v>0</v>
      </c>
      <c r="AA114" s="53">
        <v>0</v>
      </c>
      <c r="AB114" s="53">
        <v>0</v>
      </c>
      <c r="AC114" s="53">
        <v>0</v>
      </c>
      <c r="AD114" s="53">
        <v>0</v>
      </c>
      <c r="AE114" s="53">
        <v>0</v>
      </c>
      <c r="AF114" s="53">
        <v>0</v>
      </c>
      <c r="AG114" s="52">
        <f>SUM(Tabla63[[#This Row],[ENERO]:[DICIEMBRE]])</f>
        <v>0</v>
      </c>
      <c r="AI114" s="48" t="s">
        <v>51</v>
      </c>
      <c r="AJ114" s="47">
        <v>111</v>
      </c>
      <c r="AK114" s="177" t="s">
        <v>158</v>
      </c>
      <c r="AL114" s="170">
        <f>[2]P111!$B$5</f>
        <v>353400</v>
      </c>
      <c r="AM114" s="170">
        <f>[1]P111!$B$6</f>
        <v>353400</v>
      </c>
      <c r="AN114" s="170">
        <v>0</v>
      </c>
      <c r="AO114" s="170">
        <v>0</v>
      </c>
      <c r="AP114" s="170">
        <v>0</v>
      </c>
      <c r="AQ114" s="50">
        <v>0</v>
      </c>
      <c r="AR114" s="50">
        <v>0</v>
      </c>
      <c r="AS114" s="50">
        <v>0</v>
      </c>
      <c r="AT114" s="50">
        <v>0</v>
      </c>
      <c r="AU114" s="50">
        <v>0</v>
      </c>
      <c r="AV114" s="50">
        <v>0</v>
      </c>
      <c r="AW114" s="50">
        <v>0</v>
      </c>
      <c r="AX114" s="45">
        <f>SUM(Tabla634[[#This Row],[ENERO]:[DICIEMBRE]])</f>
        <v>706800</v>
      </c>
    </row>
    <row r="115" spans="1:50">
      <c r="A115" s="37" t="s">
        <v>51</v>
      </c>
      <c r="B115" s="36">
        <v>112</v>
      </c>
      <c r="C115" s="177" t="s">
        <v>159</v>
      </c>
      <c r="D115" s="76">
        <f>[1]P112!$K$5</f>
        <v>0</v>
      </c>
      <c r="E115" s="76">
        <f>[1]P112!$K$6</f>
        <v>532180</v>
      </c>
      <c r="P115" s="42">
        <f>SUM(Tabla6[[#This Row],[ENERO]:[DICIEMBRE]])</f>
        <v>532180</v>
      </c>
      <c r="R115" s="48" t="s">
        <v>51</v>
      </c>
      <c r="S115" s="47">
        <v>112</v>
      </c>
      <c r="T115" s="177" t="s">
        <v>159</v>
      </c>
      <c r="U115" s="50">
        <f>[2]P112!$L$5</f>
        <v>0</v>
      </c>
      <c r="V115" s="50">
        <f>[2]P112!$L$6</f>
        <v>0</v>
      </c>
      <c r="W115" s="50"/>
      <c r="X115" s="50">
        <v>0</v>
      </c>
      <c r="Y115" s="50">
        <v>0</v>
      </c>
      <c r="Z115" s="50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0</v>
      </c>
      <c r="AF115" s="53">
        <v>0</v>
      </c>
      <c r="AG115" s="52">
        <f>SUM(Tabla63[[#This Row],[ENERO]:[DICIEMBRE]])</f>
        <v>0</v>
      </c>
      <c r="AI115" s="48" t="s">
        <v>51</v>
      </c>
      <c r="AJ115" s="47">
        <v>112</v>
      </c>
      <c r="AK115" s="177" t="s">
        <v>159</v>
      </c>
      <c r="AL115" s="170">
        <f>[2]P112!$B$5</f>
        <v>532840</v>
      </c>
      <c r="AM115" s="170">
        <f>[1]P112!$B$6</f>
        <v>532840</v>
      </c>
      <c r="AN115" s="170">
        <v>0</v>
      </c>
      <c r="AO115" s="170">
        <v>0</v>
      </c>
      <c r="AP115" s="17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45">
        <f>SUM(Tabla634[[#This Row],[ENERO]:[DICIEMBRE]])</f>
        <v>1065680</v>
      </c>
    </row>
    <row r="116" spans="1:50">
      <c r="A116" s="37" t="s">
        <v>51</v>
      </c>
      <c r="B116" s="36">
        <v>113</v>
      </c>
      <c r="C116" s="177" t="s">
        <v>172</v>
      </c>
      <c r="D116" s="76">
        <f>'[1]53B'!$K$5</f>
        <v>0</v>
      </c>
      <c r="E116" s="76">
        <f>'[1]53B'!$K$6</f>
        <v>0</v>
      </c>
      <c r="P116" s="42">
        <f>SUM(Tabla6[[#This Row],[ENERO]:[DICIEMBRE]])</f>
        <v>0</v>
      </c>
      <c r="R116" s="48" t="s">
        <v>51</v>
      </c>
      <c r="S116" s="47">
        <v>113</v>
      </c>
      <c r="T116" s="177" t="s">
        <v>172</v>
      </c>
      <c r="U116" s="50">
        <f>'[2]53B'!$L$5</f>
        <v>177600</v>
      </c>
      <c r="V116" s="50">
        <f>'[2]53B'!$L$6</f>
        <v>0</v>
      </c>
      <c r="W116" s="50"/>
      <c r="X116" s="50">
        <v>0</v>
      </c>
      <c r="Y116" s="50">
        <v>0</v>
      </c>
      <c r="Z116" s="50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2">
        <f>SUM(Tabla63[[#This Row],[ENERO]:[DICIEMBRE]])</f>
        <v>177600</v>
      </c>
      <c r="AI116" s="48" t="s">
        <v>51</v>
      </c>
      <c r="AJ116" s="47">
        <v>113</v>
      </c>
      <c r="AK116" s="177" t="s">
        <v>172</v>
      </c>
      <c r="AL116" s="170">
        <f>'[2]53B'!$B$5</f>
        <v>177600</v>
      </c>
      <c r="AM116" s="170">
        <f>'[1]53B'!$B$6</f>
        <v>177600</v>
      </c>
      <c r="AN116" s="170">
        <v>0</v>
      </c>
      <c r="AO116" s="170">
        <v>0</v>
      </c>
      <c r="AP116" s="170">
        <v>0</v>
      </c>
      <c r="AQ116" s="50">
        <v>0</v>
      </c>
      <c r="AR116" s="50">
        <v>0</v>
      </c>
      <c r="AS116" s="50">
        <v>0</v>
      </c>
      <c r="AT116" s="50">
        <v>0</v>
      </c>
      <c r="AU116" s="50">
        <v>0</v>
      </c>
      <c r="AV116" s="50">
        <v>0</v>
      </c>
      <c r="AW116" s="50">
        <v>0</v>
      </c>
      <c r="AX116" s="45">
        <f>SUM(Tabla634[[#This Row],[ENERO]:[DICIEMBRE]])</f>
        <v>355200</v>
      </c>
    </row>
    <row r="117" spans="1:50">
      <c r="A117" s="37" t="s">
        <v>51</v>
      </c>
      <c r="B117" s="36">
        <v>114</v>
      </c>
      <c r="C117" s="407" t="s">
        <v>230</v>
      </c>
      <c r="D117" s="76">
        <f>[1]P117!$K$5</f>
        <v>177600</v>
      </c>
      <c r="E117" s="76">
        <f>[1]P117!$K$6</f>
        <v>177600</v>
      </c>
      <c r="P117" s="42">
        <f>SUM(Tabla6[[#This Row],[ENERO]:[DICIEMBRE]])</f>
        <v>355200</v>
      </c>
      <c r="R117" s="48" t="s">
        <v>51</v>
      </c>
      <c r="S117" s="47">
        <v>114</v>
      </c>
      <c r="T117" s="177" t="s">
        <v>160</v>
      </c>
      <c r="U117" s="50">
        <f>[2]P114!$L$5</f>
        <v>355100</v>
      </c>
      <c r="V117" s="50">
        <f>[2]P114!$L$6</f>
        <v>0</v>
      </c>
      <c r="W117" s="50"/>
      <c r="X117" s="50">
        <v>0</v>
      </c>
      <c r="Y117" s="50">
        <v>0</v>
      </c>
      <c r="Z117" s="50">
        <v>0</v>
      </c>
      <c r="AA117" s="53">
        <v>0</v>
      </c>
      <c r="AB117" s="53">
        <v>0</v>
      </c>
      <c r="AC117" s="53">
        <v>0</v>
      </c>
      <c r="AD117" s="53">
        <v>0</v>
      </c>
      <c r="AE117" s="53">
        <v>0</v>
      </c>
      <c r="AF117" s="53">
        <v>0</v>
      </c>
      <c r="AG117" s="52">
        <f>SUM(Tabla63[[#This Row],[ENERO]:[DICIEMBRE]])</f>
        <v>355100</v>
      </c>
      <c r="AI117" s="48" t="s">
        <v>51</v>
      </c>
      <c r="AJ117" s="47">
        <v>114</v>
      </c>
      <c r="AK117" s="177" t="s">
        <v>160</v>
      </c>
      <c r="AL117" s="170">
        <f>[2]P114!$B$5</f>
        <v>355100</v>
      </c>
      <c r="AM117" s="170">
        <f>[1]P114!$B$6</f>
        <v>355100</v>
      </c>
      <c r="AN117" s="170">
        <v>0</v>
      </c>
      <c r="AO117" s="170">
        <v>0</v>
      </c>
      <c r="AP117" s="17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0</v>
      </c>
      <c r="AW117" s="50">
        <v>0</v>
      </c>
      <c r="AX117" s="45">
        <f>SUM(Tabla634[[#This Row],[ENERO]:[DICIEMBRE]])</f>
        <v>710200</v>
      </c>
    </row>
    <row r="118" spans="1:50" hidden="1">
      <c r="A118" s="37" t="s">
        <v>51</v>
      </c>
      <c r="B118" s="36">
        <v>115</v>
      </c>
      <c r="D118" s="76">
        <f>[1]P001!$K$5</f>
        <v>0</v>
      </c>
      <c r="E118" s="76">
        <f>[1]P001!$K$5</f>
        <v>0</v>
      </c>
      <c r="P118" s="42">
        <f>SUM(Tabla6[[#This Row],[ENERO]:[DICIEMBRE]])</f>
        <v>0</v>
      </c>
      <c r="R118" s="48" t="s">
        <v>51</v>
      </c>
      <c r="S118" s="47">
        <v>115</v>
      </c>
      <c r="T118" s="177"/>
      <c r="U118" s="50">
        <f>[3]P115!$L$5</f>
        <v>0</v>
      </c>
      <c r="V118" s="50">
        <f>[3]P115!$L$5</f>
        <v>0</v>
      </c>
      <c r="W118" s="50"/>
      <c r="X118" s="50">
        <f>[3]P115!$L$8</f>
        <v>0</v>
      </c>
      <c r="Y118" s="50">
        <f>[3]P115!$L$9</f>
        <v>0</v>
      </c>
      <c r="Z118" s="50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2">
        <f>SUM(Tabla63[[#This Row],[ENERO]:[DICIEMBRE]])</f>
        <v>0</v>
      </c>
      <c r="AI118" s="48" t="s">
        <v>51</v>
      </c>
      <c r="AJ118" s="47">
        <v>115</v>
      </c>
      <c r="AK118" s="177"/>
      <c r="AL118" s="170">
        <v>0</v>
      </c>
      <c r="AM118" s="170">
        <f>[1]P005!$B$6</f>
        <v>177600</v>
      </c>
      <c r="AN118" s="170">
        <v>0</v>
      </c>
      <c r="AO118" s="170">
        <v>0</v>
      </c>
      <c r="AP118" s="17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45">
        <f>SUM(Tabla634[[#This Row],[ENERO]:[DICIEMBRE]])</f>
        <v>177600</v>
      </c>
    </row>
    <row r="119" spans="1:50" ht="15.75" customHeight="1">
      <c r="A119" s="37" t="s">
        <v>51</v>
      </c>
      <c r="B119" s="36">
        <v>116</v>
      </c>
      <c r="C119" s="177" t="s">
        <v>161</v>
      </c>
      <c r="D119" s="76">
        <f>[1]P116!$K$5</f>
        <v>532900</v>
      </c>
      <c r="E119" s="76">
        <f>[1]P116!$K$6</f>
        <v>532900</v>
      </c>
      <c r="P119" s="42">
        <f>SUM(Tabla6[[#This Row],[ENERO]:[DICIEMBRE]])</f>
        <v>1065800</v>
      </c>
      <c r="R119" s="48" t="s">
        <v>51</v>
      </c>
      <c r="S119" s="47">
        <v>116</v>
      </c>
      <c r="T119" s="177" t="s">
        <v>161</v>
      </c>
      <c r="U119" s="50">
        <f>[2]P116!$L$5</f>
        <v>0</v>
      </c>
      <c r="V119" s="50">
        <f>[2]P116!$L$6</f>
        <v>0</v>
      </c>
      <c r="W119" s="50"/>
      <c r="X119" s="50">
        <v>0</v>
      </c>
      <c r="Y119" s="50">
        <v>0</v>
      </c>
      <c r="Z119" s="50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2">
        <f>SUM(Tabla63[[#This Row],[ENERO]:[DICIEMBRE]])</f>
        <v>0</v>
      </c>
      <c r="AI119" s="48" t="s">
        <v>51</v>
      </c>
      <c r="AJ119" s="47">
        <v>116</v>
      </c>
      <c r="AK119" s="177" t="s">
        <v>161</v>
      </c>
      <c r="AL119" s="170">
        <f>[2]P119!$B$5</f>
        <v>177600</v>
      </c>
      <c r="AM119" s="170">
        <f>[1]P116!$B$6</f>
        <v>532900</v>
      </c>
      <c r="AN119" s="170">
        <v>0</v>
      </c>
      <c r="AO119" s="170">
        <v>0</v>
      </c>
      <c r="AP119" s="170">
        <v>0</v>
      </c>
      <c r="AQ119" s="50">
        <v>0</v>
      </c>
      <c r="AR119" s="50">
        <v>0</v>
      </c>
      <c r="AS119" s="50">
        <v>0</v>
      </c>
      <c r="AT119" s="50">
        <v>0</v>
      </c>
      <c r="AU119" s="50">
        <v>0</v>
      </c>
      <c r="AV119" s="50">
        <v>0</v>
      </c>
      <c r="AW119" s="50">
        <v>0</v>
      </c>
      <c r="AX119" s="45">
        <f>SUM(Tabla634[[#This Row],[ENERO]:[DICIEMBRE]])</f>
        <v>710500</v>
      </c>
    </row>
    <row r="120" spans="1:50" hidden="1">
      <c r="A120" s="37" t="s">
        <v>51</v>
      </c>
      <c r="B120" s="36">
        <v>117</v>
      </c>
      <c r="D120" s="76">
        <f>[1]P001!$K$5</f>
        <v>0</v>
      </c>
      <c r="E120" s="76">
        <f>[1]P001!$K$5</f>
        <v>0</v>
      </c>
      <c r="P120" s="42">
        <f>SUM(Tabla6[[#This Row],[ENERO]:[DICIEMBRE]])</f>
        <v>0</v>
      </c>
      <c r="R120" s="48" t="s">
        <v>51</v>
      </c>
      <c r="S120" s="47">
        <v>117</v>
      </c>
      <c r="T120" s="177"/>
      <c r="U120" s="50">
        <f>[3]P117!$L$5</f>
        <v>0</v>
      </c>
      <c r="V120" s="50">
        <f>[3]P117!$L$5</f>
        <v>0</v>
      </c>
      <c r="W120" s="50"/>
      <c r="X120" s="50">
        <f>[3]P117!$L$8</f>
        <v>0</v>
      </c>
      <c r="Y120" s="50">
        <f>[3]P117!$L$9</f>
        <v>0</v>
      </c>
      <c r="Z120" s="50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2">
        <f>SUM(Tabla63[[#This Row],[ENERO]:[DICIEMBRE]])</f>
        <v>0</v>
      </c>
      <c r="AI120" s="48" t="s">
        <v>51</v>
      </c>
      <c r="AJ120" s="47">
        <v>117</v>
      </c>
      <c r="AK120" s="177"/>
      <c r="AL120" s="170">
        <v>0</v>
      </c>
      <c r="AM120" s="170">
        <f>[1]P005!$B$6</f>
        <v>177600</v>
      </c>
      <c r="AN120" s="170">
        <v>0</v>
      </c>
      <c r="AO120" s="170">
        <v>0</v>
      </c>
      <c r="AP120" s="170">
        <v>0</v>
      </c>
      <c r="AQ120" s="50">
        <v>0</v>
      </c>
      <c r="AR120" s="50">
        <v>0</v>
      </c>
      <c r="AS120" s="50">
        <v>0</v>
      </c>
      <c r="AT120" s="50">
        <v>0</v>
      </c>
      <c r="AU120" s="50">
        <v>0</v>
      </c>
      <c r="AV120" s="50">
        <v>0</v>
      </c>
      <c r="AW120" s="50">
        <v>0</v>
      </c>
      <c r="AX120" s="45">
        <f>SUM(Tabla634[[#This Row],[ENERO]:[DICIEMBRE]])</f>
        <v>177600</v>
      </c>
    </row>
    <row r="121" spans="1:50" hidden="1">
      <c r="A121" s="78" t="s">
        <v>51</v>
      </c>
      <c r="B121" s="77" t="s">
        <v>112</v>
      </c>
      <c r="C121" s="177" t="s">
        <v>173</v>
      </c>
      <c r="D121" s="76">
        <f>[1]P001!$K$5</f>
        <v>0</v>
      </c>
      <c r="E121" s="76">
        <f>[1]P001!$K$5</f>
        <v>0</v>
      </c>
      <c r="P121" s="42">
        <f>SUM(Tabla6[[#This Row],[ENERO]:[DICIEMBRE]])</f>
        <v>0</v>
      </c>
      <c r="R121" s="48" t="s">
        <v>51</v>
      </c>
      <c r="S121" s="47" t="s">
        <v>112</v>
      </c>
      <c r="T121" s="177" t="s">
        <v>173</v>
      </c>
      <c r="U121" s="50">
        <f>[3]P117B!$L$5</f>
        <v>47600</v>
      </c>
      <c r="V121" s="50">
        <f>[3]P117B!$L$5</f>
        <v>47600</v>
      </c>
      <c r="W121" s="50"/>
      <c r="X121" s="50">
        <f>[3]P117B!$L$8</f>
        <v>0</v>
      </c>
      <c r="Y121" s="50">
        <f>[3]P117B!$L$9</f>
        <v>69000</v>
      </c>
      <c r="Z121" s="50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79">
        <f>SUM(Tabla63[[#This Row],[ENERO]:[DICIEMBRE]])</f>
        <v>164200</v>
      </c>
      <c r="AI121" s="48" t="s">
        <v>51</v>
      </c>
      <c r="AJ121" s="47" t="s">
        <v>112</v>
      </c>
      <c r="AK121" s="177" t="s">
        <v>173</v>
      </c>
      <c r="AL121" s="170">
        <v>0</v>
      </c>
      <c r="AM121" s="170">
        <f>[1]P005!$B$6</f>
        <v>177600</v>
      </c>
      <c r="AN121" s="170">
        <v>0</v>
      </c>
      <c r="AO121" s="170">
        <v>0</v>
      </c>
      <c r="AP121" s="17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80">
        <f>SUM(Tabla634[[#This Row],[ENERO]:[DICIEMBRE]])</f>
        <v>177600</v>
      </c>
    </row>
    <row r="122" spans="1:50" hidden="1">
      <c r="A122" s="78" t="s">
        <v>51</v>
      </c>
      <c r="B122" s="77" t="s">
        <v>114</v>
      </c>
      <c r="C122" s="397" t="s">
        <v>223</v>
      </c>
      <c r="D122" s="76">
        <f>[1]P001!$K$5</f>
        <v>0</v>
      </c>
      <c r="E122" s="76">
        <f>[1]P001!$K$5</f>
        <v>0</v>
      </c>
      <c r="P122" s="42">
        <f>SUM(Tabla6[[#This Row],[ENERO]:[DICIEMBRE]])</f>
        <v>0</v>
      </c>
      <c r="R122" s="48" t="s">
        <v>51</v>
      </c>
      <c r="S122" s="47" t="s">
        <v>114</v>
      </c>
      <c r="T122" s="397" t="s">
        <v>223</v>
      </c>
      <c r="U122" s="50">
        <f>[3]P117C!$L$5</f>
        <v>0</v>
      </c>
      <c r="V122" s="50">
        <f>[3]P117C!$L$5</f>
        <v>0</v>
      </c>
      <c r="W122" s="50"/>
      <c r="X122" s="50">
        <f>[3]P117C!$L$8</f>
        <v>69000</v>
      </c>
      <c r="Y122" s="50">
        <f>[3]P117C!$L$9</f>
        <v>69000</v>
      </c>
      <c r="Z122" s="50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0</v>
      </c>
      <c r="AG122" s="79">
        <f>SUM(Tabla63[[#This Row],[ENERO]:[DICIEMBRE]])</f>
        <v>138000</v>
      </c>
      <c r="AI122" s="48" t="s">
        <v>51</v>
      </c>
      <c r="AJ122" s="47" t="s">
        <v>114</v>
      </c>
      <c r="AK122" s="397" t="s">
        <v>224</v>
      </c>
      <c r="AL122" s="170">
        <v>0</v>
      </c>
      <c r="AM122" s="170">
        <f>[1]P005!$B$6</f>
        <v>177600</v>
      </c>
      <c r="AN122" s="170">
        <v>0</v>
      </c>
      <c r="AO122" s="170">
        <v>0</v>
      </c>
      <c r="AP122" s="170">
        <v>0</v>
      </c>
      <c r="AQ122" s="50">
        <v>0</v>
      </c>
      <c r="AR122" s="50">
        <v>0</v>
      </c>
      <c r="AS122" s="50">
        <v>0</v>
      </c>
      <c r="AT122" s="50">
        <v>0</v>
      </c>
      <c r="AU122" s="50">
        <v>0</v>
      </c>
      <c r="AV122" s="50">
        <v>0</v>
      </c>
      <c r="AW122" s="50">
        <v>0</v>
      </c>
      <c r="AX122" s="80">
        <f>SUM(Tabla634[[#This Row],[ENERO]:[DICIEMBRE]])</f>
        <v>177600</v>
      </c>
    </row>
    <row r="123" spans="1:50" hidden="1">
      <c r="A123" s="37" t="s">
        <v>51</v>
      </c>
      <c r="B123" s="36">
        <v>118</v>
      </c>
      <c r="D123" s="76">
        <f>[1]P001!$K$5</f>
        <v>0</v>
      </c>
      <c r="E123" s="76">
        <f>[1]P001!$K$5</f>
        <v>0</v>
      </c>
      <c r="P123" s="42">
        <f>SUM(Tabla6[[#This Row],[ENERO]:[DICIEMBRE]])</f>
        <v>0</v>
      </c>
      <c r="R123" s="48" t="s">
        <v>51</v>
      </c>
      <c r="S123" s="47">
        <v>118</v>
      </c>
      <c r="T123" s="177"/>
      <c r="U123" s="50">
        <f>[3]P118!$L$5</f>
        <v>0</v>
      </c>
      <c r="V123" s="50">
        <f>[3]P118!$L$5</f>
        <v>0</v>
      </c>
      <c r="W123" s="50"/>
      <c r="X123" s="50">
        <f>[3]P118!$L$8</f>
        <v>0</v>
      </c>
      <c r="Y123" s="50">
        <f>[3]P118!$L$9</f>
        <v>0</v>
      </c>
      <c r="Z123" s="50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0</v>
      </c>
      <c r="AG123" s="52">
        <f>SUM(Tabla63[[#This Row],[ENERO]:[DICIEMBRE]])</f>
        <v>0</v>
      </c>
      <c r="AI123" s="48" t="s">
        <v>51</v>
      </c>
      <c r="AJ123" s="47">
        <v>118</v>
      </c>
      <c r="AK123" s="177"/>
      <c r="AL123" s="170">
        <v>0</v>
      </c>
      <c r="AM123" s="170">
        <f>[1]P005!$B$6</f>
        <v>177600</v>
      </c>
      <c r="AN123" s="170">
        <v>0</v>
      </c>
      <c r="AO123" s="170">
        <v>0</v>
      </c>
      <c r="AP123" s="170">
        <v>0</v>
      </c>
      <c r="AQ123" s="50">
        <v>0</v>
      </c>
      <c r="AR123" s="50">
        <v>0</v>
      </c>
      <c r="AS123" s="50">
        <v>0</v>
      </c>
      <c r="AT123" s="50">
        <v>0</v>
      </c>
      <c r="AU123" s="50">
        <v>0</v>
      </c>
      <c r="AV123" s="50">
        <v>0</v>
      </c>
      <c r="AW123" s="50">
        <v>0</v>
      </c>
      <c r="AX123" s="45">
        <f>SUM(Tabla634[[#This Row],[ENERO]:[DICIEMBRE]])</f>
        <v>177600</v>
      </c>
    </row>
    <row r="124" spans="1:50">
      <c r="A124" s="37" t="s">
        <v>51</v>
      </c>
      <c r="B124" s="36">
        <v>119</v>
      </c>
      <c r="C124" s="407" t="s">
        <v>231</v>
      </c>
      <c r="D124" s="76">
        <f>[1]P119!$L$5</f>
        <v>177600</v>
      </c>
      <c r="E124" s="76">
        <f>[1]P119!$L$6</f>
        <v>177600</v>
      </c>
      <c r="P124" s="42">
        <f>SUM(Tabla6[[#This Row],[ENERO]:[DICIEMBRE]])</f>
        <v>355200</v>
      </c>
      <c r="R124" s="48" t="s">
        <v>51</v>
      </c>
      <c r="S124" s="47">
        <v>119</v>
      </c>
      <c r="T124" s="408" t="s">
        <v>231</v>
      </c>
      <c r="U124" s="50">
        <f>[2]P119!$L$5</f>
        <v>177600</v>
      </c>
      <c r="V124" s="50">
        <f>[2]P119!$L$6</f>
        <v>0</v>
      </c>
      <c r="W124" s="50"/>
      <c r="X124" s="50">
        <f>[3]P119!$L$8</f>
        <v>0</v>
      </c>
      <c r="Y124" s="50">
        <f>[3]P119!$L$9</f>
        <v>0</v>
      </c>
      <c r="Z124" s="50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0</v>
      </c>
      <c r="AG124" s="52">
        <f>SUM(Tabla63[[#This Row],[ENERO]:[DICIEMBRE]])</f>
        <v>177600</v>
      </c>
      <c r="AI124" s="48" t="s">
        <v>51</v>
      </c>
      <c r="AJ124" s="47">
        <v>119</v>
      </c>
      <c r="AK124" s="177"/>
      <c r="AL124" s="170">
        <f>[2]P119!$B$5</f>
        <v>177600</v>
      </c>
      <c r="AM124" s="170">
        <f>[1]P119!$B$6</f>
        <v>177600</v>
      </c>
      <c r="AN124" s="170">
        <v>0</v>
      </c>
      <c r="AO124" s="170">
        <v>0</v>
      </c>
      <c r="AP124" s="17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0</v>
      </c>
      <c r="AW124" s="50">
        <v>0</v>
      </c>
      <c r="AX124" s="45">
        <f>SUM(Tabla634[[#This Row],[ENERO]:[DICIEMBRE]])</f>
        <v>355200</v>
      </c>
    </row>
    <row r="125" spans="1:50" hidden="1">
      <c r="A125" s="37" t="s">
        <v>51</v>
      </c>
      <c r="B125" s="36">
        <v>120</v>
      </c>
      <c r="D125" s="76">
        <f>[1]P001!$K$5</f>
        <v>0</v>
      </c>
      <c r="E125" s="76">
        <f>[1]P001!$K$5</f>
        <v>0</v>
      </c>
      <c r="P125" s="42">
        <f>SUM(Tabla6[[#This Row],[ENERO]:[DICIEMBRE]])</f>
        <v>0</v>
      </c>
      <c r="R125" s="48" t="s">
        <v>51</v>
      </c>
      <c r="S125" s="47">
        <v>120</v>
      </c>
      <c r="T125" s="177"/>
      <c r="U125" s="50">
        <f>[3]P120!$L$5</f>
        <v>0</v>
      </c>
      <c r="V125" s="50">
        <f>[3]P120!$L$5</f>
        <v>0</v>
      </c>
      <c r="W125" s="50"/>
      <c r="X125" s="50">
        <f>[3]P120!$L$8</f>
        <v>0</v>
      </c>
      <c r="Y125" s="50">
        <f>[3]P120!$L$9</f>
        <v>0</v>
      </c>
      <c r="Z125" s="50">
        <v>0</v>
      </c>
      <c r="AA125" s="53">
        <v>0</v>
      </c>
      <c r="AB125" s="53">
        <v>0</v>
      </c>
      <c r="AC125" s="53">
        <v>0</v>
      </c>
      <c r="AD125" s="53">
        <v>0</v>
      </c>
      <c r="AE125" s="53">
        <v>0</v>
      </c>
      <c r="AF125" s="53">
        <v>0</v>
      </c>
      <c r="AG125" s="52">
        <f>SUM(Tabla63[[#This Row],[ENERO]:[DICIEMBRE]])</f>
        <v>0</v>
      </c>
      <c r="AI125" s="48" t="s">
        <v>51</v>
      </c>
      <c r="AJ125" s="47">
        <v>120</v>
      </c>
      <c r="AK125" s="177"/>
      <c r="AL125" s="170">
        <v>0</v>
      </c>
      <c r="AM125" s="170">
        <f>[1]P005!$B$6</f>
        <v>177600</v>
      </c>
      <c r="AN125" s="170">
        <v>0</v>
      </c>
      <c r="AO125" s="170">
        <v>0</v>
      </c>
      <c r="AP125" s="170">
        <v>0</v>
      </c>
      <c r="AQ125" s="50">
        <v>0</v>
      </c>
      <c r="AR125" s="50">
        <v>0</v>
      </c>
      <c r="AS125" s="50">
        <v>0</v>
      </c>
      <c r="AT125" s="50">
        <v>0</v>
      </c>
      <c r="AU125" s="50">
        <v>0</v>
      </c>
      <c r="AV125" s="50">
        <v>0</v>
      </c>
      <c r="AW125" s="50">
        <v>0</v>
      </c>
      <c r="AX125" s="45">
        <f>SUM(Tabla634[[#This Row],[ENERO]:[DICIEMBRE]])</f>
        <v>177600</v>
      </c>
    </row>
    <row r="126" spans="1:50" hidden="1">
      <c r="A126" s="37" t="s">
        <v>51</v>
      </c>
      <c r="B126" s="36">
        <v>121</v>
      </c>
      <c r="D126" s="76">
        <f>[1]P001!$K$5</f>
        <v>0</v>
      </c>
      <c r="E126" s="76">
        <f>[1]P001!$K$5</f>
        <v>0</v>
      </c>
      <c r="P126" s="42">
        <f>SUM(Tabla6[[#This Row],[ENERO]:[DICIEMBRE]])</f>
        <v>0</v>
      </c>
      <c r="R126" s="48" t="s">
        <v>51</v>
      </c>
      <c r="S126" s="47">
        <v>121</v>
      </c>
      <c r="T126" s="177"/>
      <c r="U126" s="50">
        <f>[3]P121!$L$5</f>
        <v>0</v>
      </c>
      <c r="V126" s="50">
        <f>[3]P121!$L$5</f>
        <v>0</v>
      </c>
      <c r="W126" s="50"/>
      <c r="X126" s="50">
        <f>[3]P121!$L$8</f>
        <v>0</v>
      </c>
      <c r="Y126" s="50">
        <f>[3]P121!$L$9</f>
        <v>0</v>
      </c>
      <c r="Z126" s="50">
        <v>0</v>
      </c>
      <c r="AA126" s="53">
        <v>0</v>
      </c>
      <c r="AB126" s="53">
        <v>0</v>
      </c>
      <c r="AC126" s="53">
        <v>0</v>
      </c>
      <c r="AD126" s="53">
        <v>0</v>
      </c>
      <c r="AE126" s="53">
        <v>0</v>
      </c>
      <c r="AF126" s="53">
        <v>0</v>
      </c>
      <c r="AG126" s="52">
        <f>SUM(Tabla63[[#This Row],[ENERO]:[DICIEMBRE]])</f>
        <v>0</v>
      </c>
      <c r="AI126" s="48" t="s">
        <v>51</v>
      </c>
      <c r="AJ126" s="47">
        <v>121</v>
      </c>
      <c r="AK126" s="177"/>
      <c r="AL126" s="170">
        <v>0</v>
      </c>
      <c r="AM126" s="170">
        <f>[1]P005!$B$6</f>
        <v>177600</v>
      </c>
      <c r="AN126" s="170">
        <v>0</v>
      </c>
      <c r="AO126" s="170">
        <v>0</v>
      </c>
      <c r="AP126" s="170">
        <v>0</v>
      </c>
      <c r="AQ126" s="50">
        <v>0</v>
      </c>
      <c r="AR126" s="50">
        <v>0</v>
      </c>
      <c r="AS126" s="50">
        <v>0</v>
      </c>
      <c r="AT126" s="50">
        <v>0</v>
      </c>
      <c r="AU126" s="50">
        <v>0</v>
      </c>
      <c r="AV126" s="50">
        <v>0</v>
      </c>
      <c r="AW126" s="50">
        <v>0</v>
      </c>
      <c r="AX126" s="45">
        <f>SUM(Tabla634[[#This Row],[ENERO]:[DICIEMBRE]])</f>
        <v>177600</v>
      </c>
    </row>
    <row r="127" spans="1:50" hidden="1">
      <c r="A127" s="37" t="s">
        <v>51</v>
      </c>
      <c r="B127" s="36">
        <v>122</v>
      </c>
      <c r="D127" s="76">
        <f>[1]P001!$K$5</f>
        <v>0</v>
      </c>
      <c r="E127" s="76">
        <f>[1]P001!$K$5</f>
        <v>0</v>
      </c>
      <c r="P127" s="42">
        <f>SUM(Tabla6[[#This Row],[ENERO]:[DICIEMBRE]])</f>
        <v>0</v>
      </c>
      <c r="R127" s="48" t="s">
        <v>51</v>
      </c>
      <c r="S127" s="47">
        <v>122</v>
      </c>
      <c r="T127" s="177"/>
      <c r="U127" s="50">
        <f>[3]P122!$L$5</f>
        <v>0</v>
      </c>
      <c r="V127" s="50">
        <f>[3]P122!$L$5</f>
        <v>0</v>
      </c>
      <c r="W127" s="50"/>
      <c r="X127" s="50">
        <f>[3]P122!$L$8</f>
        <v>0</v>
      </c>
      <c r="Y127" s="50">
        <f>[3]P122!$L$9</f>
        <v>0</v>
      </c>
      <c r="Z127" s="50">
        <v>0</v>
      </c>
      <c r="AA127" s="53">
        <v>0</v>
      </c>
      <c r="AB127" s="53">
        <v>0</v>
      </c>
      <c r="AC127" s="53">
        <v>0</v>
      </c>
      <c r="AD127" s="53">
        <v>0</v>
      </c>
      <c r="AE127" s="53">
        <v>0</v>
      </c>
      <c r="AF127" s="53">
        <v>0</v>
      </c>
      <c r="AG127" s="52">
        <f>SUM(Tabla63[[#This Row],[ENERO]:[DICIEMBRE]])</f>
        <v>0</v>
      </c>
      <c r="AI127" s="48" t="s">
        <v>51</v>
      </c>
      <c r="AJ127" s="47">
        <v>122</v>
      </c>
      <c r="AK127" s="177"/>
      <c r="AL127" s="170">
        <v>0</v>
      </c>
      <c r="AM127" s="170">
        <f>[1]P005!$B$6</f>
        <v>177600</v>
      </c>
      <c r="AN127" s="170">
        <v>0</v>
      </c>
      <c r="AO127" s="170">
        <v>0</v>
      </c>
      <c r="AP127" s="17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45">
        <f>SUM(Tabla634[[#This Row],[ENERO]:[DICIEMBRE]])</f>
        <v>177600</v>
      </c>
    </row>
    <row r="128" spans="1:50" hidden="1">
      <c r="A128" s="37" t="s">
        <v>51</v>
      </c>
      <c r="B128" s="36">
        <v>123</v>
      </c>
      <c r="D128" s="76">
        <f>[1]P001!$K$5</f>
        <v>0</v>
      </c>
      <c r="E128" s="76">
        <f>[1]P001!$K$5</f>
        <v>0</v>
      </c>
      <c r="P128" s="42">
        <f>SUM(Tabla6[[#This Row],[ENERO]:[DICIEMBRE]])</f>
        <v>0</v>
      </c>
      <c r="R128" s="48" t="s">
        <v>51</v>
      </c>
      <c r="S128" s="47">
        <v>123</v>
      </c>
      <c r="T128" s="177"/>
      <c r="U128" s="50">
        <f>[3]P123!$L$5</f>
        <v>0</v>
      </c>
      <c r="V128" s="50">
        <f>[3]P123!$L$5</f>
        <v>0</v>
      </c>
      <c r="W128" s="50"/>
      <c r="X128" s="50">
        <f>[3]P123!$L$8</f>
        <v>0</v>
      </c>
      <c r="Y128" s="50">
        <f>[3]P123!$L$9</f>
        <v>0</v>
      </c>
      <c r="Z128" s="50">
        <v>0</v>
      </c>
      <c r="AA128" s="53">
        <v>0</v>
      </c>
      <c r="AB128" s="53">
        <v>0</v>
      </c>
      <c r="AC128" s="53">
        <v>0</v>
      </c>
      <c r="AD128" s="53">
        <v>0</v>
      </c>
      <c r="AE128" s="53">
        <v>0</v>
      </c>
      <c r="AF128" s="53">
        <v>0</v>
      </c>
      <c r="AG128" s="52">
        <f>SUM(Tabla63[[#This Row],[ENERO]:[DICIEMBRE]])</f>
        <v>0</v>
      </c>
      <c r="AI128" s="48" t="s">
        <v>51</v>
      </c>
      <c r="AJ128" s="47">
        <v>123</v>
      </c>
      <c r="AK128" s="177"/>
      <c r="AL128" s="170">
        <v>0</v>
      </c>
      <c r="AM128" s="170">
        <f>[1]P005!$B$6</f>
        <v>177600</v>
      </c>
      <c r="AN128" s="170">
        <v>0</v>
      </c>
      <c r="AO128" s="170">
        <v>0</v>
      </c>
      <c r="AP128" s="17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45">
        <f>SUM(Tabla634[[#This Row],[ENERO]:[DICIEMBRE]])</f>
        <v>177600</v>
      </c>
    </row>
    <row r="129" spans="1:50">
      <c r="A129" s="37" t="s">
        <v>51</v>
      </c>
      <c r="B129" s="36">
        <v>124</v>
      </c>
      <c r="C129" s="407" t="s">
        <v>232</v>
      </c>
      <c r="D129" s="76">
        <f>[1]PTO124!$K$5</f>
        <v>177600</v>
      </c>
      <c r="E129" s="76">
        <f>[1]PTO124!$K$6</f>
        <v>177600</v>
      </c>
      <c r="P129" s="42">
        <f>SUM(Tabla6[[#This Row],[ENERO]:[DICIEMBRE]])</f>
        <v>355200</v>
      </c>
      <c r="R129" s="48" t="s">
        <v>51</v>
      </c>
      <c r="S129" s="47">
        <v>124</v>
      </c>
      <c r="T129" s="408" t="s">
        <v>232</v>
      </c>
      <c r="U129" s="50">
        <f>[2]PTO124!$B$5</f>
        <v>177600</v>
      </c>
      <c r="V129" s="50">
        <f>[2]PTO124!$B$6</f>
        <v>0</v>
      </c>
      <c r="W129" s="50"/>
      <c r="X129" s="50">
        <f>[3]P124!$L$8</f>
        <v>0</v>
      </c>
      <c r="Y129" s="50">
        <v>0</v>
      </c>
      <c r="Z129" s="50">
        <v>0</v>
      </c>
      <c r="AA129" s="53">
        <v>0</v>
      </c>
      <c r="AB129" s="53">
        <v>0</v>
      </c>
      <c r="AC129" s="53">
        <v>0</v>
      </c>
      <c r="AD129" s="53">
        <v>0</v>
      </c>
      <c r="AE129" s="53">
        <v>0</v>
      </c>
      <c r="AF129" s="53">
        <v>0</v>
      </c>
      <c r="AG129" s="52">
        <f>SUM(Tabla63[[#This Row],[ENERO]:[DICIEMBRE]])</f>
        <v>177600</v>
      </c>
      <c r="AI129" s="48" t="s">
        <v>51</v>
      </c>
      <c r="AJ129" s="47">
        <v>124</v>
      </c>
      <c r="AK129" s="177"/>
      <c r="AL129" s="170">
        <f>[2]PTO124!$B$5</f>
        <v>177600</v>
      </c>
      <c r="AM129" s="170">
        <f>[1]PTO124!$B$6</f>
        <v>177600</v>
      </c>
      <c r="AN129" s="170">
        <v>0</v>
      </c>
      <c r="AO129" s="170">
        <v>0</v>
      </c>
      <c r="AP129" s="170">
        <v>0</v>
      </c>
      <c r="AQ129" s="50">
        <v>0</v>
      </c>
      <c r="AR129" s="50">
        <v>0</v>
      </c>
      <c r="AS129" s="50">
        <v>0</v>
      </c>
      <c r="AT129" s="50">
        <v>0</v>
      </c>
      <c r="AU129" s="50">
        <v>0</v>
      </c>
      <c r="AV129" s="50">
        <v>0</v>
      </c>
      <c r="AW129" s="50">
        <v>0</v>
      </c>
      <c r="AX129" s="45">
        <f>SUM(Tabla634[[#This Row],[ENERO]:[DICIEMBRE]])</f>
        <v>355200</v>
      </c>
    </row>
    <row r="130" spans="1:50" hidden="1">
      <c r="A130" s="37" t="s">
        <v>51</v>
      </c>
      <c r="B130" s="36">
        <v>125</v>
      </c>
      <c r="C130" s="177" t="s">
        <v>162</v>
      </c>
      <c r="D130" s="76">
        <f>[1]P001!$K$5</f>
        <v>0</v>
      </c>
      <c r="E130" s="76">
        <f>[1]P001!$K$5</f>
        <v>0</v>
      </c>
      <c r="P130" s="42">
        <f>SUM(Tabla6[[#This Row],[ENERO]:[DICIEMBRE]])</f>
        <v>0</v>
      </c>
      <c r="R130" s="48" t="s">
        <v>51</v>
      </c>
      <c r="S130" s="47">
        <v>125</v>
      </c>
      <c r="T130" s="177" t="s">
        <v>162</v>
      </c>
      <c r="U130" s="50">
        <f>[3]P125!$L$5</f>
        <v>47600</v>
      </c>
      <c r="V130" s="50">
        <f>[3]P125!$L$5</f>
        <v>47600</v>
      </c>
      <c r="W130" s="50"/>
      <c r="X130" s="50">
        <f>[3]P125!$L$8</f>
        <v>73000</v>
      </c>
      <c r="Y130" s="50">
        <f>[3]P125!$L$9</f>
        <v>69000</v>
      </c>
      <c r="Z130" s="50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0</v>
      </c>
      <c r="AF130" s="53">
        <v>0</v>
      </c>
      <c r="AG130" s="52">
        <f>SUM(Tabla63[[#This Row],[ENERO]:[DICIEMBRE]])</f>
        <v>237200</v>
      </c>
      <c r="AI130" s="48" t="s">
        <v>51</v>
      </c>
      <c r="AJ130" s="47">
        <v>125</v>
      </c>
      <c r="AK130" s="177" t="s">
        <v>162</v>
      </c>
      <c r="AL130" s="170">
        <v>0</v>
      </c>
      <c r="AM130" s="170">
        <f>[1]P005!$B$6</f>
        <v>177600</v>
      </c>
      <c r="AN130" s="170">
        <v>0</v>
      </c>
      <c r="AO130" s="170">
        <v>0</v>
      </c>
      <c r="AP130" s="17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45">
        <f>SUM(Tabla634[[#This Row],[ENERO]:[DICIEMBRE]])</f>
        <v>177600</v>
      </c>
    </row>
    <row r="131" spans="1:50" hidden="1">
      <c r="A131" s="37" t="s">
        <v>51</v>
      </c>
      <c r="B131" s="36">
        <v>126</v>
      </c>
      <c r="D131" s="76">
        <f>[1]P001!$K$5</f>
        <v>0</v>
      </c>
      <c r="E131" s="76">
        <f>[1]P001!$K$5</f>
        <v>0</v>
      </c>
      <c r="P131" s="42">
        <f>SUM(Tabla6[[#This Row],[ENERO]:[DICIEMBRE]])</f>
        <v>0</v>
      </c>
      <c r="R131" s="48" t="s">
        <v>51</v>
      </c>
      <c r="S131" s="47">
        <v>126</v>
      </c>
      <c r="T131" s="177"/>
      <c r="U131" s="50">
        <f>[3]P126!$L$5</f>
        <v>0</v>
      </c>
      <c r="V131" s="50">
        <f>[3]P126!$L$5</f>
        <v>0</v>
      </c>
      <c r="W131" s="50"/>
      <c r="X131" s="50">
        <f>[3]P126!$L$8</f>
        <v>0</v>
      </c>
      <c r="Y131" s="50">
        <f>[3]P126!$L$9</f>
        <v>0</v>
      </c>
      <c r="Z131" s="50">
        <v>0</v>
      </c>
      <c r="AA131" s="53">
        <v>0</v>
      </c>
      <c r="AB131" s="53">
        <v>0</v>
      </c>
      <c r="AC131" s="53">
        <v>0</v>
      </c>
      <c r="AD131" s="53">
        <v>0</v>
      </c>
      <c r="AE131" s="53">
        <v>0</v>
      </c>
      <c r="AF131" s="53">
        <v>0</v>
      </c>
      <c r="AG131" s="52">
        <f>SUM(Tabla63[[#This Row],[ENERO]:[DICIEMBRE]])</f>
        <v>0</v>
      </c>
      <c r="AI131" s="48" t="s">
        <v>51</v>
      </c>
      <c r="AJ131" s="47">
        <v>126</v>
      </c>
      <c r="AK131" s="177"/>
      <c r="AL131" s="170">
        <v>0</v>
      </c>
      <c r="AM131" s="170">
        <f>[1]P005!$B$6</f>
        <v>177600</v>
      </c>
      <c r="AN131" s="170">
        <v>0</v>
      </c>
      <c r="AO131" s="170">
        <v>0</v>
      </c>
      <c r="AP131" s="170">
        <v>0</v>
      </c>
      <c r="AQ131" s="50">
        <v>0</v>
      </c>
      <c r="AR131" s="50">
        <v>0</v>
      </c>
      <c r="AS131" s="50">
        <v>0</v>
      </c>
      <c r="AT131" s="50">
        <v>0</v>
      </c>
      <c r="AU131" s="50">
        <v>0</v>
      </c>
      <c r="AV131" s="50">
        <v>0</v>
      </c>
      <c r="AW131" s="50">
        <v>0</v>
      </c>
      <c r="AX131" s="45">
        <f>SUM(Tabla634[[#This Row],[ENERO]:[DICIEMBRE]])</f>
        <v>177600</v>
      </c>
    </row>
    <row r="132" spans="1:50" hidden="1">
      <c r="A132" s="37" t="s">
        <v>51</v>
      </c>
      <c r="B132" s="36">
        <v>127</v>
      </c>
      <c r="D132" s="76">
        <f>[1]P001!$K$5</f>
        <v>0</v>
      </c>
      <c r="E132" s="76">
        <f>[1]P001!$K$5</f>
        <v>0</v>
      </c>
      <c r="P132" s="42">
        <f>SUM(Tabla6[[#This Row],[ENERO]:[DICIEMBRE]])</f>
        <v>0</v>
      </c>
      <c r="R132" s="48" t="s">
        <v>51</v>
      </c>
      <c r="S132" s="47">
        <v>127</v>
      </c>
      <c r="T132" s="177"/>
      <c r="U132" s="50">
        <f>[3]P127!$L$5</f>
        <v>0</v>
      </c>
      <c r="V132" s="50">
        <f>[3]P127!$L$5</f>
        <v>0</v>
      </c>
      <c r="W132" s="50"/>
      <c r="X132" s="50">
        <f>[3]P127!$L$8</f>
        <v>0</v>
      </c>
      <c r="Y132" s="50">
        <f>[3]P127!$L$9</f>
        <v>0</v>
      </c>
      <c r="Z132" s="50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2">
        <f>SUM(Tabla63[[#This Row],[ENERO]:[DICIEMBRE]])</f>
        <v>0</v>
      </c>
      <c r="AI132" s="48" t="s">
        <v>51</v>
      </c>
      <c r="AJ132" s="47">
        <v>127</v>
      </c>
      <c r="AK132" s="177"/>
      <c r="AL132" s="170">
        <v>0</v>
      </c>
      <c r="AM132" s="170">
        <f>[1]P005!$B$6</f>
        <v>177600</v>
      </c>
      <c r="AN132" s="170">
        <v>0</v>
      </c>
      <c r="AO132" s="170">
        <v>0</v>
      </c>
      <c r="AP132" s="170">
        <v>0</v>
      </c>
      <c r="AQ132" s="50">
        <v>0</v>
      </c>
      <c r="AR132" s="50">
        <v>0</v>
      </c>
      <c r="AS132" s="50">
        <v>0</v>
      </c>
      <c r="AT132" s="50">
        <v>0</v>
      </c>
      <c r="AU132" s="50">
        <v>0</v>
      </c>
      <c r="AV132" s="50">
        <v>0</v>
      </c>
      <c r="AW132" s="50">
        <v>0</v>
      </c>
      <c r="AX132" s="45">
        <f>SUM(Tabla634[[#This Row],[ENERO]:[DICIEMBRE]])</f>
        <v>177600</v>
      </c>
    </row>
    <row r="133" spans="1:50" hidden="1">
      <c r="A133" s="37" t="s">
        <v>51</v>
      </c>
      <c r="B133" s="36">
        <v>128</v>
      </c>
      <c r="C133" s="177" t="s">
        <v>163</v>
      </c>
      <c r="D133" s="76">
        <f>[1]P001!$K$5</f>
        <v>0</v>
      </c>
      <c r="E133" s="76">
        <f>[1]P001!$K$5</f>
        <v>0</v>
      </c>
      <c r="P133" s="42">
        <f>SUM(Tabla6[[#This Row],[ENERO]:[DICIEMBRE]])</f>
        <v>0</v>
      </c>
      <c r="R133" s="48" t="s">
        <v>51</v>
      </c>
      <c r="S133" s="47">
        <v>128</v>
      </c>
      <c r="T133" s="177" t="s">
        <v>163</v>
      </c>
      <c r="U133" s="50">
        <f>[3]P128!$L$5</f>
        <v>47600</v>
      </c>
      <c r="V133" s="50">
        <f>[3]P128!$L$5</f>
        <v>47600</v>
      </c>
      <c r="W133" s="50"/>
      <c r="X133" s="50">
        <f>[3]P128!$L$8</f>
        <v>73000</v>
      </c>
      <c r="Y133" s="50">
        <f>[3]P128!$L$9</f>
        <v>69000</v>
      </c>
      <c r="Z133" s="50">
        <v>0</v>
      </c>
      <c r="AA133" s="53">
        <v>0</v>
      </c>
      <c r="AB133" s="53">
        <v>0</v>
      </c>
      <c r="AC133" s="53">
        <v>0</v>
      </c>
      <c r="AD133" s="53">
        <v>0</v>
      </c>
      <c r="AE133" s="53">
        <v>0</v>
      </c>
      <c r="AF133" s="53">
        <v>0</v>
      </c>
      <c r="AG133" s="52">
        <f>SUM(Tabla63[[#This Row],[ENERO]:[DICIEMBRE]])</f>
        <v>237200</v>
      </c>
      <c r="AI133" s="48" t="s">
        <v>51</v>
      </c>
      <c r="AJ133" s="47">
        <v>128</v>
      </c>
      <c r="AK133" s="177" t="s">
        <v>163</v>
      </c>
      <c r="AL133" s="170">
        <v>0</v>
      </c>
      <c r="AM133" s="170">
        <f>[1]P005!$B$6</f>
        <v>177600</v>
      </c>
      <c r="AN133" s="170">
        <v>0</v>
      </c>
      <c r="AO133" s="170">
        <v>0</v>
      </c>
      <c r="AP133" s="17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45">
        <f>SUM(Tabla634[[#This Row],[ENERO]:[DICIEMBRE]])</f>
        <v>177600</v>
      </c>
    </row>
    <row r="134" spans="1:50" hidden="1">
      <c r="A134" s="37" t="s">
        <v>51</v>
      </c>
      <c r="B134" s="36">
        <v>129</v>
      </c>
      <c r="D134" s="76">
        <f>[1]P001!$K$5</f>
        <v>0</v>
      </c>
      <c r="E134" s="76">
        <f>[1]P001!$K$5</f>
        <v>0</v>
      </c>
      <c r="P134" s="42">
        <f>SUM(Tabla6[[#This Row],[ENERO]:[DICIEMBRE]])</f>
        <v>0</v>
      </c>
      <c r="R134" s="48" t="s">
        <v>51</v>
      </c>
      <c r="S134" s="47">
        <v>129</v>
      </c>
      <c r="T134" s="177"/>
      <c r="U134" s="50">
        <f>[3]P129!$L$5</f>
        <v>0</v>
      </c>
      <c r="V134" s="50">
        <f>[3]P129!$L$5</f>
        <v>0</v>
      </c>
      <c r="W134" s="50"/>
      <c r="X134" s="50">
        <f>[3]P129!$L$8</f>
        <v>0</v>
      </c>
      <c r="Y134" s="50">
        <f>[3]P129!$L$9</f>
        <v>0</v>
      </c>
      <c r="Z134" s="50">
        <v>0</v>
      </c>
      <c r="AA134" s="53">
        <v>0</v>
      </c>
      <c r="AB134" s="53">
        <v>0</v>
      </c>
      <c r="AC134" s="53">
        <v>0</v>
      </c>
      <c r="AD134" s="53">
        <v>0</v>
      </c>
      <c r="AE134" s="53">
        <v>0</v>
      </c>
      <c r="AF134" s="53">
        <v>0</v>
      </c>
      <c r="AG134" s="52">
        <f>SUM(Tabla63[[#This Row],[ENERO]:[DICIEMBRE]])</f>
        <v>0</v>
      </c>
      <c r="AI134" s="48" t="s">
        <v>51</v>
      </c>
      <c r="AJ134" s="47">
        <v>129</v>
      </c>
      <c r="AK134" s="177"/>
      <c r="AL134" s="170">
        <v>0</v>
      </c>
      <c r="AM134" s="170">
        <f>[1]P005!$B$6</f>
        <v>177600</v>
      </c>
      <c r="AN134" s="170">
        <v>0</v>
      </c>
      <c r="AO134" s="170">
        <v>0</v>
      </c>
      <c r="AP134" s="170">
        <v>0</v>
      </c>
      <c r="AQ134" s="50">
        <v>0</v>
      </c>
      <c r="AR134" s="50">
        <v>0</v>
      </c>
      <c r="AS134" s="50">
        <v>0</v>
      </c>
      <c r="AT134" s="50">
        <v>0</v>
      </c>
      <c r="AU134" s="50">
        <v>0</v>
      </c>
      <c r="AV134" s="50">
        <v>0</v>
      </c>
      <c r="AW134" s="50">
        <v>0</v>
      </c>
      <c r="AX134" s="45">
        <f>SUM(Tabla634[[#This Row],[ENERO]:[DICIEMBRE]])</f>
        <v>177600</v>
      </c>
    </row>
    <row r="135" spans="1:50">
      <c r="A135" s="37" t="s">
        <v>51</v>
      </c>
      <c r="B135" s="36">
        <v>130</v>
      </c>
      <c r="C135" s="177" t="s">
        <v>164</v>
      </c>
      <c r="D135" s="76">
        <f>[1]P130!$K$5</f>
        <v>0</v>
      </c>
      <c r="E135" s="76">
        <f>[1]P130!$K$6</f>
        <v>324100</v>
      </c>
      <c r="P135" s="42">
        <f>SUM(Tabla6[[#This Row],[ENERO]:[DICIEMBRE]])</f>
        <v>324100</v>
      </c>
      <c r="R135" s="48" t="s">
        <v>51</v>
      </c>
      <c r="S135" s="47">
        <v>130</v>
      </c>
      <c r="T135" s="177" t="s">
        <v>164</v>
      </c>
      <c r="U135" s="50">
        <f>[2]P130!$L$5</f>
        <v>710600</v>
      </c>
      <c r="V135" s="50">
        <f>[2]P130!$L$6</f>
        <v>18400</v>
      </c>
      <c r="W135" s="50"/>
      <c r="X135" s="50">
        <v>0</v>
      </c>
      <c r="Y135" s="50">
        <v>0</v>
      </c>
      <c r="Z135" s="50">
        <v>0</v>
      </c>
      <c r="AA135" s="53">
        <v>0</v>
      </c>
      <c r="AB135" s="53">
        <v>0</v>
      </c>
      <c r="AC135" s="53">
        <v>0</v>
      </c>
      <c r="AD135" s="53">
        <v>0</v>
      </c>
      <c r="AE135" s="53">
        <v>0</v>
      </c>
      <c r="AF135" s="53">
        <v>0</v>
      </c>
      <c r="AG135" s="52">
        <f>SUM(Tabla63[[#This Row],[ENERO]:[DICIEMBRE]])</f>
        <v>729000</v>
      </c>
      <c r="AI135" s="48" t="s">
        <v>51</v>
      </c>
      <c r="AJ135" s="47">
        <v>130</v>
      </c>
      <c r="AK135" s="177" t="s">
        <v>164</v>
      </c>
      <c r="AL135" s="170">
        <f>[2]P130!$B$5</f>
        <v>710600</v>
      </c>
      <c r="AM135" s="170">
        <f>[1]P130!$B$6</f>
        <v>710600</v>
      </c>
      <c r="AN135" s="170">
        <v>0</v>
      </c>
      <c r="AO135" s="170">
        <v>0</v>
      </c>
      <c r="AP135" s="170">
        <v>0</v>
      </c>
      <c r="AQ135" s="50">
        <v>0</v>
      </c>
      <c r="AR135" s="50">
        <v>0</v>
      </c>
      <c r="AS135" s="50">
        <v>0</v>
      </c>
      <c r="AT135" s="50">
        <v>0</v>
      </c>
      <c r="AU135" s="50">
        <v>0</v>
      </c>
      <c r="AV135" s="50">
        <v>0</v>
      </c>
      <c r="AW135" s="50">
        <v>0</v>
      </c>
      <c r="AX135" s="45">
        <f>SUM(Tabla634[[#This Row],[ENERO]:[DICIEMBRE]])</f>
        <v>1421200</v>
      </c>
    </row>
    <row r="136" spans="1:50">
      <c r="A136" s="37" t="s">
        <v>50</v>
      </c>
      <c r="B136" s="36">
        <v>1</v>
      </c>
      <c r="C136" s="177" t="s">
        <v>174</v>
      </c>
      <c r="D136" s="76">
        <f>[1]L001!$K$5</f>
        <v>0</v>
      </c>
      <c r="E136" s="76">
        <f>[1]L001!$K$6</f>
        <v>0</v>
      </c>
      <c r="P136" s="42">
        <f>SUM(Tabla6[[#This Row],[ENERO]:[DICIEMBRE]])</f>
        <v>0</v>
      </c>
      <c r="R136" s="48" t="s">
        <v>50</v>
      </c>
      <c r="S136" s="47">
        <v>1</v>
      </c>
      <c r="T136" s="177" t="s">
        <v>174</v>
      </c>
      <c r="U136" s="53">
        <f>[2]L001!$L$5</f>
        <v>723300</v>
      </c>
      <c r="V136" s="53">
        <f>[2]L001!$L$6</f>
        <v>0</v>
      </c>
      <c r="W136" s="50"/>
      <c r="X136" s="53">
        <v>0</v>
      </c>
      <c r="Y136" s="53">
        <v>0</v>
      </c>
      <c r="Z136" s="50">
        <v>0</v>
      </c>
      <c r="AA136" s="53">
        <v>0</v>
      </c>
      <c r="AB136" s="53">
        <v>0</v>
      </c>
      <c r="AC136" s="53">
        <v>0</v>
      </c>
      <c r="AD136" s="53">
        <v>0</v>
      </c>
      <c r="AE136" s="53">
        <v>0</v>
      </c>
      <c r="AF136" s="53">
        <v>0</v>
      </c>
      <c r="AG136" s="52">
        <f>SUM(Tabla63[[#This Row],[ENERO]:[DICIEMBRE]])</f>
        <v>723300</v>
      </c>
      <c r="AI136" s="48" t="s">
        <v>50</v>
      </c>
      <c r="AJ136" s="47">
        <v>1</v>
      </c>
      <c r="AK136" s="177" t="s">
        <v>174</v>
      </c>
      <c r="AL136" s="170">
        <f>[2]L001!$B$5</f>
        <v>723300</v>
      </c>
      <c r="AM136" s="170">
        <f>[1]L001!$B$6</f>
        <v>1023300</v>
      </c>
      <c r="AN136" s="170">
        <v>0</v>
      </c>
      <c r="AO136" s="170">
        <v>0</v>
      </c>
      <c r="AP136" s="17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0</v>
      </c>
      <c r="AW136" s="50">
        <v>0</v>
      </c>
      <c r="AX136" s="45">
        <f>SUM(Tabla634[[#This Row],[ENERO]:[DICIEMBRE]])</f>
        <v>1746600</v>
      </c>
    </row>
    <row r="137" spans="1:50" hidden="1">
      <c r="A137" s="37" t="s">
        <v>50</v>
      </c>
      <c r="B137" s="36">
        <v>2</v>
      </c>
      <c r="D137" s="76">
        <f>[1]P001!$K$5</f>
        <v>0</v>
      </c>
      <c r="E137" s="76">
        <f>[1]P001!$K$5</f>
        <v>0</v>
      </c>
      <c r="P137" s="42">
        <f>SUM(Tabla6[[#This Row],[ENERO]:[DICIEMBRE]])</f>
        <v>0</v>
      </c>
      <c r="R137" s="48" t="s">
        <v>50</v>
      </c>
      <c r="S137" s="47">
        <v>2</v>
      </c>
      <c r="T137" s="177"/>
      <c r="U137" s="53">
        <f>[3]L002!$L$5</f>
        <v>0</v>
      </c>
      <c r="V137" s="53">
        <f>[3]L002!$L$5</f>
        <v>0</v>
      </c>
      <c r="W137" s="50"/>
      <c r="X137" s="53">
        <f>[3]L002!$L$8</f>
        <v>0</v>
      </c>
      <c r="Y137" s="53">
        <f>[3]L002!$L$9</f>
        <v>0</v>
      </c>
      <c r="Z137" s="50">
        <v>0</v>
      </c>
      <c r="AA137" s="53">
        <v>0</v>
      </c>
      <c r="AB137" s="53">
        <v>0</v>
      </c>
      <c r="AC137" s="53">
        <v>0</v>
      </c>
      <c r="AD137" s="53">
        <v>0</v>
      </c>
      <c r="AE137" s="53">
        <v>0</v>
      </c>
      <c r="AF137" s="53">
        <v>0</v>
      </c>
      <c r="AG137" s="52">
        <f>SUM(Tabla63[[#This Row],[ENERO]:[DICIEMBRE]])</f>
        <v>0</v>
      </c>
      <c r="AI137" s="48" t="s">
        <v>50</v>
      </c>
      <c r="AJ137" s="47">
        <v>2</v>
      </c>
      <c r="AK137" s="177"/>
      <c r="AL137" s="170">
        <v>0</v>
      </c>
      <c r="AM137" s="170">
        <f>[1]L001!$B$6</f>
        <v>1023300</v>
      </c>
      <c r="AN137" s="170">
        <v>0</v>
      </c>
      <c r="AO137" s="170">
        <v>0</v>
      </c>
      <c r="AP137" s="170">
        <v>0</v>
      </c>
      <c r="AQ137" s="50">
        <v>0</v>
      </c>
      <c r="AR137" s="50">
        <v>0</v>
      </c>
      <c r="AS137" s="50">
        <v>0</v>
      </c>
      <c r="AT137" s="50">
        <v>0</v>
      </c>
      <c r="AU137" s="50">
        <v>0</v>
      </c>
      <c r="AV137" s="50">
        <v>0</v>
      </c>
      <c r="AW137" s="50">
        <v>0</v>
      </c>
      <c r="AX137" s="45">
        <f>SUM(Tabla634[[#This Row],[ENERO]:[DICIEMBRE]])</f>
        <v>1023300</v>
      </c>
    </row>
    <row r="138" spans="1:50">
      <c r="A138" s="37" t="s">
        <v>50</v>
      </c>
      <c r="B138" s="36">
        <v>3</v>
      </c>
      <c r="C138" s="177" t="s">
        <v>175</v>
      </c>
      <c r="D138" s="76">
        <f>[1]L003!$K$5</f>
        <v>0</v>
      </c>
      <c r="E138" s="76">
        <f>[1]L003!$K$6</f>
        <v>0</v>
      </c>
      <c r="P138" s="42">
        <f>SUM(Tabla6[[#This Row],[ENERO]:[DICIEMBRE]])</f>
        <v>0</v>
      </c>
      <c r="R138" s="48" t="s">
        <v>50</v>
      </c>
      <c r="S138" s="47">
        <v>3</v>
      </c>
      <c r="T138" s="177" t="s">
        <v>175</v>
      </c>
      <c r="U138" s="53">
        <f>[2]L003!$L$5</f>
        <v>0</v>
      </c>
      <c r="V138" s="53">
        <f>[2]L003!$L$6</f>
        <v>0</v>
      </c>
      <c r="W138" s="50"/>
      <c r="X138" s="53">
        <v>0</v>
      </c>
      <c r="Y138" s="53">
        <v>0</v>
      </c>
      <c r="Z138" s="50">
        <v>0</v>
      </c>
      <c r="AA138" s="53">
        <v>0</v>
      </c>
      <c r="AB138" s="53">
        <v>0</v>
      </c>
      <c r="AC138" s="53">
        <v>0</v>
      </c>
      <c r="AD138" s="53">
        <v>0</v>
      </c>
      <c r="AE138" s="53">
        <v>0</v>
      </c>
      <c r="AF138" s="53">
        <v>0</v>
      </c>
      <c r="AG138" s="52">
        <f>SUM(Tabla63[[#This Row],[ENERO]:[DICIEMBRE]])</f>
        <v>0</v>
      </c>
      <c r="AI138" s="48" t="s">
        <v>50</v>
      </c>
      <c r="AJ138" s="47">
        <v>3</v>
      </c>
      <c r="AK138" s="177" t="s">
        <v>175</v>
      </c>
      <c r="AL138" s="170">
        <f>[2]L003!$B$5</f>
        <v>443740</v>
      </c>
      <c r="AM138" s="170">
        <f>[1]L003!$B$6</f>
        <v>443740</v>
      </c>
      <c r="AN138" s="170">
        <v>0</v>
      </c>
      <c r="AO138" s="170">
        <v>0</v>
      </c>
      <c r="AP138" s="170">
        <v>0</v>
      </c>
      <c r="AQ138" s="50">
        <v>0</v>
      </c>
      <c r="AR138" s="50">
        <v>0</v>
      </c>
      <c r="AS138" s="50">
        <v>0</v>
      </c>
      <c r="AT138" s="50">
        <v>0</v>
      </c>
      <c r="AU138" s="50">
        <v>0</v>
      </c>
      <c r="AV138" s="50">
        <v>0</v>
      </c>
      <c r="AW138" s="50">
        <v>0</v>
      </c>
      <c r="AX138" s="45">
        <f>SUM(Tabla634[[#This Row],[ENERO]:[DICIEMBRE]])</f>
        <v>887480</v>
      </c>
    </row>
    <row r="139" spans="1:50">
      <c r="A139" s="37" t="s">
        <v>50</v>
      </c>
      <c r="B139" s="36">
        <v>4</v>
      </c>
      <c r="C139" s="177" t="s">
        <v>176</v>
      </c>
      <c r="D139" s="76">
        <f>[1]L004!$K$5</f>
        <v>0</v>
      </c>
      <c r="E139" s="76">
        <f>[1]L004!$K$6</f>
        <v>380000</v>
      </c>
      <c r="P139" s="42">
        <f>SUM(Tabla6[[#This Row],[ENERO]:[DICIEMBRE]])</f>
        <v>380000</v>
      </c>
      <c r="R139" s="48" t="s">
        <v>50</v>
      </c>
      <c r="S139" s="47">
        <v>4</v>
      </c>
      <c r="T139" s="177" t="s">
        <v>176</v>
      </c>
      <c r="U139" s="53">
        <f>[2]L004!$L$5</f>
        <v>0</v>
      </c>
      <c r="V139" s="53">
        <f>[2]L004!$L$6</f>
        <v>0</v>
      </c>
      <c r="W139" s="50"/>
      <c r="X139" s="53">
        <v>0</v>
      </c>
      <c r="Y139" s="53">
        <v>0</v>
      </c>
      <c r="Z139" s="50">
        <v>0</v>
      </c>
      <c r="AA139" s="53">
        <v>0</v>
      </c>
      <c r="AB139" s="53">
        <v>0</v>
      </c>
      <c r="AC139" s="53">
        <v>0</v>
      </c>
      <c r="AD139" s="53">
        <v>0</v>
      </c>
      <c r="AE139" s="53">
        <v>0</v>
      </c>
      <c r="AF139" s="53">
        <v>0</v>
      </c>
      <c r="AG139" s="52">
        <f>SUM(Tabla63[[#This Row],[ENERO]:[DICIEMBRE]])</f>
        <v>0</v>
      </c>
      <c r="AI139" s="48" t="s">
        <v>50</v>
      </c>
      <c r="AJ139" s="47">
        <v>4</v>
      </c>
      <c r="AK139" s="177" t="s">
        <v>176</v>
      </c>
      <c r="AL139" s="170">
        <f>[2]L004!$B$5</f>
        <v>380000</v>
      </c>
      <c r="AM139" s="170">
        <f>[1]L004!$B$6</f>
        <v>380000</v>
      </c>
      <c r="AN139" s="170">
        <v>0</v>
      </c>
      <c r="AO139" s="170">
        <v>0</v>
      </c>
      <c r="AP139" s="170">
        <v>0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>
        <v>0</v>
      </c>
      <c r="AW139" s="50">
        <v>0</v>
      </c>
      <c r="AX139" s="45">
        <f>SUM(Tabla634[[#This Row],[ENERO]:[DICIEMBRE]])</f>
        <v>760000</v>
      </c>
    </row>
    <row r="140" spans="1:50" hidden="1">
      <c r="A140" s="37" t="s">
        <v>50</v>
      </c>
      <c r="B140" s="36">
        <v>5</v>
      </c>
      <c r="D140" s="76">
        <f>[1]P001!$K$5</f>
        <v>0</v>
      </c>
      <c r="E140" s="76">
        <f>[1]P001!$K$5</f>
        <v>0</v>
      </c>
      <c r="P140" s="42">
        <f>SUM(Tabla6[[#This Row],[ENERO]:[DICIEMBRE]])</f>
        <v>0</v>
      </c>
      <c r="R140" s="48" t="s">
        <v>50</v>
      </c>
      <c r="S140" s="47">
        <v>5</v>
      </c>
      <c r="T140" s="177"/>
      <c r="U140" s="53">
        <f>[3]L005!$L$5</f>
        <v>0</v>
      </c>
      <c r="V140" s="53">
        <f>[3]L005!$L$5</f>
        <v>0</v>
      </c>
      <c r="W140" s="50"/>
      <c r="X140" s="53">
        <f>[3]L005!$L$8</f>
        <v>0</v>
      </c>
      <c r="Y140" s="53">
        <f>[3]L005!$L$9</f>
        <v>0</v>
      </c>
      <c r="Z140" s="50">
        <v>0</v>
      </c>
      <c r="AA140" s="53">
        <v>0</v>
      </c>
      <c r="AB140" s="53">
        <v>0</v>
      </c>
      <c r="AC140" s="53">
        <v>0</v>
      </c>
      <c r="AD140" s="53">
        <v>0</v>
      </c>
      <c r="AE140" s="53">
        <v>0</v>
      </c>
      <c r="AF140" s="53">
        <v>0</v>
      </c>
      <c r="AG140" s="52">
        <f>SUM(Tabla63[[#This Row],[ENERO]:[DICIEMBRE]])</f>
        <v>0</v>
      </c>
      <c r="AI140" s="48" t="s">
        <v>50</v>
      </c>
      <c r="AJ140" s="47">
        <v>5</v>
      </c>
      <c r="AK140" s="177"/>
      <c r="AL140" s="170">
        <v>0</v>
      </c>
      <c r="AM140" s="170">
        <f>[1]L001!$B$6</f>
        <v>1023300</v>
      </c>
      <c r="AN140" s="170">
        <v>0</v>
      </c>
      <c r="AO140" s="170">
        <v>0</v>
      </c>
      <c r="AP140" s="170">
        <v>0</v>
      </c>
      <c r="AQ140" s="50">
        <v>0</v>
      </c>
      <c r="AR140" s="50">
        <v>0</v>
      </c>
      <c r="AS140" s="50">
        <v>0</v>
      </c>
      <c r="AT140" s="50">
        <v>0</v>
      </c>
      <c r="AU140" s="50">
        <v>0</v>
      </c>
      <c r="AV140" s="50">
        <v>0</v>
      </c>
      <c r="AW140" s="50">
        <v>0</v>
      </c>
      <c r="AX140" s="45">
        <f>SUM(Tabla634[[#This Row],[ENERO]:[DICIEMBRE]])</f>
        <v>1023300</v>
      </c>
    </row>
    <row r="141" spans="1:50">
      <c r="A141" s="37" t="s">
        <v>50</v>
      </c>
      <c r="B141" s="36">
        <v>6</v>
      </c>
      <c r="C141" s="177" t="s">
        <v>177</v>
      </c>
      <c r="D141" s="76">
        <f>[1]L006!$K$5</f>
        <v>0</v>
      </c>
      <c r="E141" s="76">
        <f>[1]L006!$K$6</f>
        <v>613600</v>
      </c>
      <c r="P141" s="42">
        <f>SUM(Tabla6[[#This Row],[ENERO]:[DICIEMBRE]])</f>
        <v>613600</v>
      </c>
      <c r="R141" s="48" t="s">
        <v>50</v>
      </c>
      <c r="S141" s="47">
        <v>6</v>
      </c>
      <c r="T141" s="177" t="s">
        <v>177</v>
      </c>
      <c r="U141" s="53">
        <f>[2]L006!$L$5</f>
        <v>0</v>
      </c>
      <c r="V141" s="53">
        <f>[2]L006!$L$6</f>
        <v>0</v>
      </c>
      <c r="W141" s="50"/>
      <c r="X141" s="53">
        <v>0</v>
      </c>
      <c r="Y141" s="53">
        <v>0</v>
      </c>
      <c r="Z141" s="50">
        <v>0</v>
      </c>
      <c r="AA141" s="53">
        <v>0</v>
      </c>
      <c r="AB141" s="53">
        <v>0</v>
      </c>
      <c r="AC141" s="53">
        <v>0</v>
      </c>
      <c r="AD141" s="53">
        <v>0</v>
      </c>
      <c r="AE141" s="53">
        <v>0</v>
      </c>
      <c r="AF141" s="53">
        <v>0</v>
      </c>
      <c r="AG141" s="52">
        <f>SUM(Tabla63[[#This Row],[ENERO]:[DICIEMBRE]])</f>
        <v>0</v>
      </c>
      <c r="AI141" s="48" t="s">
        <v>50</v>
      </c>
      <c r="AJ141" s="47">
        <v>6</v>
      </c>
      <c r="AK141" s="177" t="s">
        <v>177</v>
      </c>
      <c r="AL141" s="170">
        <f>[2]L006!$B$5</f>
        <v>686600</v>
      </c>
      <c r="AM141" s="170">
        <f>[1]L006!$B$6</f>
        <v>686600</v>
      </c>
      <c r="AN141" s="170">
        <v>0</v>
      </c>
      <c r="AO141" s="170">
        <v>0</v>
      </c>
      <c r="AP141" s="170">
        <v>0</v>
      </c>
      <c r="AQ141" s="50">
        <v>0</v>
      </c>
      <c r="AR141" s="50">
        <v>0</v>
      </c>
      <c r="AS141" s="50">
        <v>0</v>
      </c>
      <c r="AT141" s="50">
        <v>0</v>
      </c>
      <c r="AU141" s="50">
        <v>0</v>
      </c>
      <c r="AV141" s="50">
        <v>0</v>
      </c>
      <c r="AW141" s="50">
        <v>0</v>
      </c>
      <c r="AX141" s="45">
        <f>SUM(Tabla634[[#This Row],[ENERO]:[DICIEMBRE]])</f>
        <v>1373200</v>
      </c>
    </row>
    <row r="142" spans="1:50" hidden="1">
      <c r="A142" s="37" t="s">
        <v>50</v>
      </c>
      <c r="B142" s="36">
        <v>7</v>
      </c>
      <c r="D142" s="76">
        <f>[1]P001!$K$5</f>
        <v>0</v>
      </c>
      <c r="E142" s="76">
        <f>[1]P001!$K$5</f>
        <v>0</v>
      </c>
      <c r="P142" s="42">
        <f>SUM(Tabla6[[#This Row],[ENERO]:[DICIEMBRE]])</f>
        <v>0</v>
      </c>
      <c r="R142" s="48" t="s">
        <v>50</v>
      </c>
      <c r="S142" s="47">
        <v>7</v>
      </c>
      <c r="T142" s="177"/>
      <c r="U142" s="53">
        <f>[3]L007!$L$5</f>
        <v>0</v>
      </c>
      <c r="V142" s="53">
        <f>[3]L007!$L$5</f>
        <v>0</v>
      </c>
      <c r="W142" s="50"/>
      <c r="X142" s="53">
        <f>[3]L007!$L$8</f>
        <v>0</v>
      </c>
      <c r="Y142" s="53">
        <f>[3]L007!$L$9</f>
        <v>0</v>
      </c>
      <c r="Z142" s="50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0</v>
      </c>
      <c r="AF142" s="53">
        <v>0</v>
      </c>
      <c r="AG142" s="52">
        <f>SUM(Tabla63[[#This Row],[ENERO]:[DICIEMBRE]])</f>
        <v>0</v>
      </c>
      <c r="AI142" s="48" t="s">
        <v>50</v>
      </c>
      <c r="AJ142" s="47">
        <v>7</v>
      </c>
      <c r="AK142" s="177"/>
      <c r="AL142" s="170">
        <v>0</v>
      </c>
      <c r="AM142" s="170">
        <f>[1]L001!$B$6</f>
        <v>1023300</v>
      </c>
      <c r="AN142" s="170">
        <v>0</v>
      </c>
      <c r="AO142" s="170">
        <v>0</v>
      </c>
      <c r="AP142" s="17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45">
        <f>SUM(Tabla634[[#This Row],[ENERO]:[DICIEMBRE]])</f>
        <v>1023300</v>
      </c>
    </row>
    <row r="143" spans="1:50">
      <c r="A143" s="37" t="s">
        <v>50</v>
      </c>
      <c r="B143" s="36">
        <v>8</v>
      </c>
      <c r="C143" s="177" t="s">
        <v>178</v>
      </c>
      <c r="D143" s="76">
        <f>[1]L008!$K$5</f>
        <v>355100</v>
      </c>
      <c r="E143" s="76">
        <f>[1]L008!$K$6</f>
        <v>355100</v>
      </c>
      <c r="P143" s="42">
        <f>SUM(Tabla6[[#This Row],[ENERO]:[DICIEMBRE]])</f>
        <v>710200</v>
      </c>
      <c r="R143" s="48" t="s">
        <v>50</v>
      </c>
      <c r="S143" s="47">
        <v>8</v>
      </c>
      <c r="T143" s="177" t="s">
        <v>178</v>
      </c>
      <c r="U143" s="53">
        <f>[2]L008!$L$5</f>
        <v>0</v>
      </c>
      <c r="V143" s="53">
        <f>[2]L008!$L$6</f>
        <v>0</v>
      </c>
      <c r="W143" s="50"/>
      <c r="X143" s="53">
        <v>0</v>
      </c>
      <c r="Y143" s="53">
        <v>0</v>
      </c>
      <c r="Z143" s="50">
        <v>0</v>
      </c>
      <c r="AA143" s="53">
        <v>0</v>
      </c>
      <c r="AB143" s="53">
        <v>0</v>
      </c>
      <c r="AC143" s="53">
        <v>0</v>
      </c>
      <c r="AD143" s="53">
        <v>0</v>
      </c>
      <c r="AE143" s="53">
        <v>0</v>
      </c>
      <c r="AF143" s="53">
        <v>0</v>
      </c>
      <c r="AG143" s="52">
        <f>SUM(Tabla63[[#This Row],[ENERO]:[DICIEMBRE]])</f>
        <v>0</v>
      </c>
      <c r="AI143" s="48" t="s">
        <v>50</v>
      </c>
      <c r="AJ143" s="47">
        <v>8</v>
      </c>
      <c r="AK143" s="177" t="s">
        <v>178</v>
      </c>
      <c r="AL143" s="170">
        <f>[2]L008!$B$5</f>
        <v>355100</v>
      </c>
      <c r="AM143" s="170">
        <f>[1]L008!$B$6</f>
        <v>355100</v>
      </c>
      <c r="AN143" s="170">
        <v>0</v>
      </c>
      <c r="AO143" s="170">
        <v>0</v>
      </c>
      <c r="AP143" s="170">
        <v>0</v>
      </c>
      <c r="AQ143" s="50">
        <v>0</v>
      </c>
      <c r="AR143" s="50">
        <v>0</v>
      </c>
      <c r="AS143" s="50">
        <v>0</v>
      </c>
      <c r="AT143" s="50">
        <v>0</v>
      </c>
      <c r="AU143" s="50">
        <v>0</v>
      </c>
      <c r="AV143" s="50">
        <v>0</v>
      </c>
      <c r="AW143" s="50">
        <v>0</v>
      </c>
      <c r="AX143" s="45">
        <f>SUM(Tabla634[[#This Row],[ENERO]:[DICIEMBRE]])</f>
        <v>710200</v>
      </c>
    </row>
    <row r="144" spans="1:50" hidden="1">
      <c r="A144" s="37" t="s">
        <v>50</v>
      </c>
      <c r="B144" s="36">
        <v>9</v>
      </c>
      <c r="D144" s="76">
        <f>[1]P001!$K$5</f>
        <v>0</v>
      </c>
      <c r="E144" s="76">
        <f>[1]P001!$K$5</f>
        <v>0</v>
      </c>
      <c r="P144" s="42">
        <f>SUM(Tabla6[[#This Row],[ENERO]:[DICIEMBRE]])</f>
        <v>0</v>
      </c>
      <c r="R144" s="48" t="s">
        <v>50</v>
      </c>
      <c r="S144" s="47">
        <v>9</v>
      </c>
      <c r="T144" s="177"/>
      <c r="U144" s="53">
        <f>[3]L009!$L$5</f>
        <v>0</v>
      </c>
      <c r="V144" s="53">
        <f>[3]L009!$L$5</f>
        <v>0</v>
      </c>
      <c r="W144" s="50"/>
      <c r="X144" s="53">
        <f>[3]L009!$L$8</f>
        <v>0</v>
      </c>
      <c r="Y144" s="53">
        <f>[3]L009!$L$9</f>
        <v>0</v>
      </c>
      <c r="Z144" s="50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2">
        <f>SUM(Tabla63[[#This Row],[ENERO]:[DICIEMBRE]])</f>
        <v>0</v>
      </c>
      <c r="AI144" s="48" t="s">
        <v>50</v>
      </c>
      <c r="AJ144" s="47">
        <v>9</v>
      </c>
      <c r="AK144" s="177"/>
      <c r="AL144" s="170">
        <v>0</v>
      </c>
      <c r="AM144" s="170">
        <f>[1]L001!$B$6</f>
        <v>1023300</v>
      </c>
      <c r="AN144" s="170">
        <v>0</v>
      </c>
      <c r="AO144" s="170">
        <v>0</v>
      </c>
      <c r="AP144" s="170">
        <v>0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>
        <v>0</v>
      </c>
      <c r="AW144" s="50">
        <v>0</v>
      </c>
      <c r="AX144" s="45">
        <f>SUM(Tabla634[[#This Row],[ENERO]:[DICIEMBRE]])</f>
        <v>1023300</v>
      </c>
    </row>
    <row r="145" spans="1:50">
      <c r="A145" s="37" t="s">
        <v>50</v>
      </c>
      <c r="B145" s="36">
        <v>10</v>
      </c>
      <c r="C145" s="407" t="s">
        <v>233</v>
      </c>
      <c r="D145" s="76">
        <f>[1]L010!$K$5</f>
        <v>0</v>
      </c>
      <c r="E145" s="76">
        <f>[1]L010!$K$6</f>
        <v>355100</v>
      </c>
      <c r="P145" s="42">
        <f>SUM(Tabla6[[#This Row],[ENERO]:[DICIEMBRE]])</f>
        <v>355100</v>
      </c>
      <c r="R145" s="48" t="s">
        <v>50</v>
      </c>
      <c r="S145" s="47">
        <v>10</v>
      </c>
      <c r="T145" s="408" t="s">
        <v>233</v>
      </c>
      <c r="U145" s="53">
        <f>[2]L010!$L$5</f>
        <v>355100</v>
      </c>
      <c r="V145" s="53">
        <f>[2]L010!$L$6</f>
        <v>0</v>
      </c>
      <c r="W145" s="50"/>
      <c r="X145" s="53">
        <v>0</v>
      </c>
      <c r="Y145" s="53">
        <v>0</v>
      </c>
      <c r="Z145" s="50">
        <v>0</v>
      </c>
      <c r="AA145" s="53">
        <v>0</v>
      </c>
      <c r="AB145" s="53">
        <v>0</v>
      </c>
      <c r="AC145" s="53">
        <v>0</v>
      </c>
      <c r="AD145" s="53">
        <v>0</v>
      </c>
      <c r="AE145" s="53">
        <v>0</v>
      </c>
      <c r="AF145" s="53">
        <v>0</v>
      </c>
      <c r="AG145" s="52">
        <f>SUM(Tabla63[[#This Row],[ENERO]:[DICIEMBRE]])</f>
        <v>355100</v>
      </c>
      <c r="AI145" s="48" t="s">
        <v>50</v>
      </c>
      <c r="AJ145" s="47">
        <v>10</v>
      </c>
      <c r="AK145" s="389" t="s">
        <v>219</v>
      </c>
      <c r="AL145" s="170">
        <f>[2]L010!$B$5</f>
        <v>355100</v>
      </c>
      <c r="AM145" s="170">
        <f>[1]L010!$B$6</f>
        <v>355100</v>
      </c>
      <c r="AN145" s="170">
        <v>0</v>
      </c>
      <c r="AO145" s="170">
        <v>0</v>
      </c>
      <c r="AP145" s="170">
        <v>0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>
        <v>0</v>
      </c>
      <c r="AW145" s="50">
        <v>0</v>
      </c>
      <c r="AX145" s="45">
        <f>SUM(Tabla634[[#This Row],[ENERO]:[DICIEMBRE]])</f>
        <v>710200</v>
      </c>
    </row>
    <row r="146" spans="1:50" hidden="1">
      <c r="A146" s="37" t="s">
        <v>50</v>
      </c>
      <c r="B146" s="36">
        <v>11</v>
      </c>
      <c r="D146" s="76">
        <f>[1]P001!$K$5</f>
        <v>0</v>
      </c>
      <c r="E146" s="76">
        <f>[1]P001!$K$5</f>
        <v>0</v>
      </c>
      <c r="P146" s="42">
        <f>SUM(Tabla6[[#This Row],[ENERO]:[DICIEMBRE]])</f>
        <v>0</v>
      </c>
      <c r="R146" s="48" t="s">
        <v>50</v>
      </c>
      <c r="S146" s="47">
        <v>11</v>
      </c>
      <c r="T146" s="177"/>
      <c r="U146" s="53">
        <f>[3]L011!$L$5</f>
        <v>0</v>
      </c>
      <c r="V146" s="53">
        <f>[3]L011!$L$5</f>
        <v>0</v>
      </c>
      <c r="W146" s="50"/>
      <c r="X146" s="53">
        <f>[3]L011!$L$8</f>
        <v>0</v>
      </c>
      <c r="Y146" s="53">
        <f>[3]L011!$L$9</f>
        <v>0</v>
      </c>
      <c r="Z146" s="50">
        <v>0</v>
      </c>
      <c r="AA146" s="53">
        <v>0</v>
      </c>
      <c r="AB146" s="53">
        <v>0</v>
      </c>
      <c r="AC146" s="53">
        <v>0</v>
      </c>
      <c r="AD146" s="53">
        <v>0</v>
      </c>
      <c r="AE146" s="53">
        <v>0</v>
      </c>
      <c r="AF146" s="53">
        <v>0</v>
      </c>
      <c r="AG146" s="52">
        <f>SUM(Tabla63[[#This Row],[ENERO]:[DICIEMBRE]])</f>
        <v>0</v>
      </c>
      <c r="AI146" s="48" t="s">
        <v>50</v>
      </c>
      <c r="AJ146" s="47">
        <v>11</v>
      </c>
      <c r="AK146" s="177"/>
      <c r="AL146" s="170">
        <v>0</v>
      </c>
      <c r="AM146" s="170">
        <f>[1]L001!$B$6</f>
        <v>1023300</v>
      </c>
      <c r="AN146" s="170">
        <v>0</v>
      </c>
      <c r="AO146" s="170">
        <v>0</v>
      </c>
      <c r="AP146" s="170">
        <v>0</v>
      </c>
      <c r="AQ146" s="50">
        <v>0</v>
      </c>
      <c r="AR146" s="50">
        <v>0</v>
      </c>
      <c r="AS146" s="50">
        <v>0</v>
      </c>
      <c r="AT146" s="50">
        <v>0</v>
      </c>
      <c r="AU146" s="50">
        <v>0</v>
      </c>
      <c r="AV146" s="50">
        <v>0</v>
      </c>
      <c r="AW146" s="50">
        <v>0</v>
      </c>
      <c r="AX146" s="45">
        <f>SUM(Tabla634[[#This Row],[ENERO]:[DICIEMBRE]])</f>
        <v>1023300</v>
      </c>
    </row>
    <row r="147" spans="1:50" hidden="1">
      <c r="A147" s="37" t="s">
        <v>50</v>
      </c>
      <c r="B147" s="36">
        <v>12</v>
      </c>
      <c r="D147" s="76">
        <f>[1]P001!$K$5</f>
        <v>0</v>
      </c>
      <c r="E147" s="76">
        <f>[1]P001!$K$5</f>
        <v>0</v>
      </c>
      <c r="P147" s="42">
        <f>SUM(Tabla6[[#This Row],[ENERO]:[DICIEMBRE]])</f>
        <v>0</v>
      </c>
      <c r="R147" s="48" t="s">
        <v>50</v>
      </c>
      <c r="S147" s="47">
        <v>12</v>
      </c>
      <c r="T147" s="177"/>
      <c r="U147" s="53">
        <f>[3]L012!$L$5</f>
        <v>0</v>
      </c>
      <c r="V147" s="53">
        <f>[3]L012!$L$5</f>
        <v>0</v>
      </c>
      <c r="W147" s="50"/>
      <c r="X147" s="53">
        <f>[3]L012!$L$8</f>
        <v>0</v>
      </c>
      <c r="Y147" s="53">
        <f>[3]L012!$L$9</f>
        <v>0</v>
      </c>
      <c r="Z147" s="50">
        <v>0</v>
      </c>
      <c r="AA147" s="53">
        <v>0</v>
      </c>
      <c r="AB147" s="53">
        <v>0</v>
      </c>
      <c r="AC147" s="53">
        <v>0</v>
      </c>
      <c r="AD147" s="53">
        <v>0</v>
      </c>
      <c r="AE147" s="53">
        <v>0</v>
      </c>
      <c r="AF147" s="53">
        <v>0</v>
      </c>
      <c r="AG147" s="52">
        <f>SUM(Tabla63[[#This Row],[ENERO]:[DICIEMBRE]])</f>
        <v>0</v>
      </c>
      <c r="AI147" s="48" t="s">
        <v>50</v>
      </c>
      <c r="AJ147" s="47">
        <v>12</v>
      </c>
      <c r="AK147" s="177"/>
      <c r="AL147" s="170">
        <v>0</v>
      </c>
      <c r="AM147" s="170">
        <f>[1]L001!$B$6</f>
        <v>1023300</v>
      </c>
      <c r="AN147" s="170">
        <v>0</v>
      </c>
      <c r="AO147" s="170">
        <v>0</v>
      </c>
      <c r="AP147" s="170">
        <v>0</v>
      </c>
      <c r="AQ147" s="50">
        <v>0</v>
      </c>
      <c r="AR147" s="50">
        <v>0</v>
      </c>
      <c r="AS147" s="50">
        <v>0</v>
      </c>
      <c r="AT147" s="50">
        <v>0</v>
      </c>
      <c r="AU147" s="50">
        <v>0</v>
      </c>
      <c r="AV147" s="50">
        <v>0</v>
      </c>
      <c r="AW147" s="50">
        <v>0</v>
      </c>
      <c r="AX147" s="45">
        <f>SUM(Tabla634[[#This Row],[ENERO]:[DICIEMBRE]])</f>
        <v>1023300</v>
      </c>
    </row>
    <row r="148" spans="1:50" hidden="1">
      <c r="A148" s="37" t="s">
        <v>50</v>
      </c>
      <c r="B148" s="36">
        <v>13</v>
      </c>
      <c r="D148" s="76">
        <f>[1]P001!$K$5</f>
        <v>0</v>
      </c>
      <c r="E148" s="76">
        <f>[1]P001!$K$5</f>
        <v>0</v>
      </c>
      <c r="P148" s="42">
        <f>SUM(Tabla6[[#This Row],[ENERO]:[DICIEMBRE]])</f>
        <v>0</v>
      </c>
      <c r="R148" s="48" t="s">
        <v>50</v>
      </c>
      <c r="S148" s="47">
        <v>13</v>
      </c>
      <c r="T148" s="177"/>
      <c r="U148" s="53">
        <f>[3]L013!$L$5</f>
        <v>0</v>
      </c>
      <c r="V148" s="53">
        <f>[3]L013!$L$5</f>
        <v>0</v>
      </c>
      <c r="W148" s="50"/>
      <c r="X148" s="53">
        <f>[3]L013!$L$8</f>
        <v>0</v>
      </c>
      <c r="Y148" s="53">
        <f>[3]L013!$L$9</f>
        <v>0</v>
      </c>
      <c r="Z148" s="50">
        <v>0</v>
      </c>
      <c r="AA148" s="53">
        <v>0</v>
      </c>
      <c r="AB148" s="53">
        <v>0</v>
      </c>
      <c r="AC148" s="53">
        <v>0</v>
      </c>
      <c r="AD148" s="53">
        <v>0</v>
      </c>
      <c r="AE148" s="53">
        <v>0</v>
      </c>
      <c r="AF148" s="53">
        <v>0</v>
      </c>
      <c r="AG148" s="52">
        <f>SUM(Tabla63[[#This Row],[ENERO]:[DICIEMBRE]])</f>
        <v>0</v>
      </c>
      <c r="AI148" s="48" t="s">
        <v>50</v>
      </c>
      <c r="AJ148" s="47">
        <v>13</v>
      </c>
      <c r="AK148" s="177"/>
      <c r="AL148" s="170">
        <v>0</v>
      </c>
      <c r="AM148" s="170">
        <f>[1]L001!$B$6</f>
        <v>1023300</v>
      </c>
      <c r="AN148" s="170">
        <v>0</v>
      </c>
      <c r="AO148" s="170">
        <v>0</v>
      </c>
      <c r="AP148" s="17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45">
        <f>SUM(Tabla634[[#This Row],[ENERO]:[DICIEMBRE]])</f>
        <v>1023300</v>
      </c>
    </row>
    <row r="149" spans="1:50">
      <c r="A149" s="37" t="s">
        <v>50</v>
      </c>
      <c r="B149" s="36">
        <v>14</v>
      </c>
      <c r="C149" s="177" t="s">
        <v>179</v>
      </c>
      <c r="D149" s="76">
        <f>[1]L014!$K$5</f>
        <v>574400</v>
      </c>
      <c r="E149" s="76">
        <f>[1]L014!$K$6</f>
        <v>574400</v>
      </c>
      <c r="P149" s="42">
        <f>SUM(Tabla6[[#This Row],[ENERO]:[DICIEMBRE]])</f>
        <v>1148800</v>
      </c>
      <c r="R149" s="48" t="s">
        <v>50</v>
      </c>
      <c r="S149" s="47">
        <v>14</v>
      </c>
      <c r="T149" s="177" t="s">
        <v>179</v>
      </c>
      <c r="U149" s="53">
        <f>[2]L014!$L$5</f>
        <v>0</v>
      </c>
      <c r="V149" s="53">
        <f>[2]L014!$L$6</f>
        <v>0</v>
      </c>
      <c r="W149" s="50"/>
      <c r="X149" s="53">
        <v>0</v>
      </c>
      <c r="Y149" s="53">
        <v>0</v>
      </c>
      <c r="Z149" s="50">
        <v>0</v>
      </c>
      <c r="AA149" s="53">
        <v>0</v>
      </c>
      <c r="AB149" s="53">
        <v>0</v>
      </c>
      <c r="AC149" s="53">
        <v>0</v>
      </c>
      <c r="AD149" s="53">
        <v>0</v>
      </c>
      <c r="AE149" s="53">
        <v>0</v>
      </c>
      <c r="AF149" s="53">
        <v>0</v>
      </c>
      <c r="AG149" s="52">
        <f>SUM(Tabla63[[#This Row],[ENERO]:[DICIEMBRE]])</f>
        <v>0</v>
      </c>
      <c r="AI149" s="48" t="s">
        <v>50</v>
      </c>
      <c r="AJ149" s="47">
        <v>14</v>
      </c>
      <c r="AK149" s="177" t="s">
        <v>179</v>
      </c>
      <c r="AL149" s="170">
        <f>[2]L014!$B$5</f>
        <v>574400</v>
      </c>
      <c r="AM149" s="170">
        <f>[1]L014!$B$6</f>
        <v>574400</v>
      </c>
      <c r="AN149" s="170">
        <v>0</v>
      </c>
      <c r="AO149" s="170">
        <v>0</v>
      </c>
      <c r="AP149" s="170">
        <v>0</v>
      </c>
      <c r="AQ149" s="50">
        <v>0</v>
      </c>
      <c r="AR149" s="50">
        <v>0</v>
      </c>
      <c r="AS149" s="50">
        <v>0</v>
      </c>
      <c r="AT149" s="50">
        <v>0</v>
      </c>
      <c r="AU149" s="50">
        <v>0</v>
      </c>
      <c r="AV149" s="50">
        <v>0</v>
      </c>
      <c r="AW149" s="50">
        <v>0</v>
      </c>
      <c r="AX149" s="45">
        <f>SUM(Tabla634[[#This Row],[ENERO]:[DICIEMBRE]])</f>
        <v>1148800</v>
      </c>
    </row>
    <row r="150" spans="1:50" hidden="1">
      <c r="A150" s="37" t="s">
        <v>50</v>
      </c>
      <c r="B150" s="36">
        <v>15</v>
      </c>
      <c r="D150" s="76">
        <f>[1]P001!$K$5</f>
        <v>0</v>
      </c>
      <c r="E150" s="76">
        <f>[1]P001!$K$5</f>
        <v>0</v>
      </c>
      <c r="P150" s="42">
        <f>SUM(Tabla6[[#This Row],[ENERO]:[DICIEMBRE]])</f>
        <v>0</v>
      </c>
      <c r="R150" s="48" t="s">
        <v>50</v>
      </c>
      <c r="S150" s="47">
        <v>15</v>
      </c>
      <c r="T150" s="177"/>
      <c r="U150" s="53">
        <f>[3]L015!$L$5</f>
        <v>0</v>
      </c>
      <c r="V150" s="53">
        <f>[3]L015!$L$5</f>
        <v>0</v>
      </c>
      <c r="W150" s="50"/>
      <c r="X150" s="53">
        <f>[3]L015!$L$8</f>
        <v>0</v>
      </c>
      <c r="Y150" s="53">
        <f>[3]L015!$L$9</f>
        <v>0</v>
      </c>
      <c r="Z150" s="50">
        <v>0</v>
      </c>
      <c r="AA150" s="53">
        <v>0</v>
      </c>
      <c r="AB150" s="53">
        <v>0</v>
      </c>
      <c r="AC150" s="53">
        <v>0</v>
      </c>
      <c r="AD150" s="53">
        <v>0</v>
      </c>
      <c r="AE150" s="53">
        <v>0</v>
      </c>
      <c r="AF150" s="53">
        <v>0</v>
      </c>
      <c r="AG150" s="52">
        <f>SUM(Tabla63[[#This Row],[ENERO]:[DICIEMBRE]])</f>
        <v>0</v>
      </c>
      <c r="AI150" s="48" t="s">
        <v>50</v>
      </c>
      <c r="AJ150" s="47">
        <v>15</v>
      </c>
      <c r="AK150" s="177"/>
      <c r="AL150" s="170">
        <v>0</v>
      </c>
      <c r="AM150" s="170">
        <f>[1]L001!$B$6</f>
        <v>1023300</v>
      </c>
      <c r="AN150" s="170">
        <v>0</v>
      </c>
      <c r="AO150" s="170">
        <v>0</v>
      </c>
      <c r="AP150" s="170">
        <v>0</v>
      </c>
      <c r="AQ150" s="50">
        <v>0</v>
      </c>
      <c r="AR150" s="50">
        <v>0</v>
      </c>
      <c r="AS150" s="50">
        <v>0</v>
      </c>
      <c r="AT150" s="50">
        <v>0</v>
      </c>
      <c r="AU150" s="50">
        <v>0</v>
      </c>
      <c r="AV150" s="50">
        <v>0</v>
      </c>
      <c r="AW150" s="50">
        <v>0</v>
      </c>
      <c r="AX150" s="45">
        <f>SUM(Tabla634[[#This Row],[ENERO]:[DICIEMBRE]])</f>
        <v>1023300</v>
      </c>
    </row>
    <row r="151" spans="1:50">
      <c r="A151" s="37" t="s">
        <v>50</v>
      </c>
      <c r="B151" s="36">
        <v>16</v>
      </c>
      <c r="C151" s="177" t="s">
        <v>180</v>
      </c>
      <c r="D151" s="76">
        <f>[1]L016!$K$5</f>
        <v>681100</v>
      </c>
      <c r="E151" s="76">
        <f>[1]L016!$K$6</f>
        <v>681100</v>
      </c>
      <c r="P151" s="42">
        <f>SUM(Tabla6[[#This Row],[ENERO]:[DICIEMBRE]])</f>
        <v>1362200</v>
      </c>
      <c r="R151" s="48" t="s">
        <v>50</v>
      </c>
      <c r="S151" s="47">
        <v>16</v>
      </c>
      <c r="T151" s="177" t="s">
        <v>180</v>
      </c>
      <c r="U151" s="53">
        <f>[2]L016!$L$5</f>
        <v>0</v>
      </c>
      <c r="V151" s="53">
        <f>[2]L016!$L$6</f>
        <v>0</v>
      </c>
      <c r="W151" s="50"/>
      <c r="X151" s="53">
        <v>0</v>
      </c>
      <c r="Y151" s="53">
        <v>0</v>
      </c>
      <c r="Z151" s="50">
        <v>0</v>
      </c>
      <c r="AA151" s="53">
        <v>0</v>
      </c>
      <c r="AB151" s="53">
        <v>0</v>
      </c>
      <c r="AC151" s="53">
        <v>0</v>
      </c>
      <c r="AD151" s="53">
        <v>0</v>
      </c>
      <c r="AE151" s="53">
        <v>0</v>
      </c>
      <c r="AF151" s="53">
        <v>0</v>
      </c>
      <c r="AG151" s="52">
        <f>SUM(Tabla63[[#This Row],[ENERO]:[DICIEMBRE]])</f>
        <v>0</v>
      </c>
      <c r="AI151" s="48" t="s">
        <v>50</v>
      </c>
      <c r="AJ151" s="47">
        <v>16</v>
      </c>
      <c r="AK151" s="177" t="s">
        <v>180</v>
      </c>
      <c r="AL151" s="170">
        <f>[2]L016!$B$5</f>
        <v>681100</v>
      </c>
      <c r="AM151" s="170">
        <f>[1]L016!$B$6</f>
        <v>681100</v>
      </c>
      <c r="AN151" s="170">
        <v>0</v>
      </c>
      <c r="AO151" s="170">
        <v>0</v>
      </c>
      <c r="AP151" s="17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45">
        <f>SUM(Tabla634[[#This Row],[ENERO]:[DICIEMBRE]])</f>
        <v>1362200</v>
      </c>
    </row>
    <row r="152" spans="1:50" hidden="1">
      <c r="A152" s="37" t="s">
        <v>50</v>
      </c>
      <c r="B152" s="36">
        <v>17</v>
      </c>
      <c r="D152" s="76">
        <f>[1]P001!$K$5</f>
        <v>0</v>
      </c>
      <c r="E152" s="76">
        <f>[1]P001!$K$5</f>
        <v>0</v>
      </c>
      <c r="P152" s="42">
        <f>SUM(Tabla6[[#This Row],[ENERO]:[DICIEMBRE]])</f>
        <v>0</v>
      </c>
      <c r="R152" s="48" t="s">
        <v>50</v>
      </c>
      <c r="S152" s="47">
        <v>17</v>
      </c>
      <c r="T152" s="177"/>
      <c r="U152" s="53">
        <f>[3]L017!$L$5</f>
        <v>0</v>
      </c>
      <c r="V152" s="53">
        <f>[3]L017!$L$5</f>
        <v>0</v>
      </c>
      <c r="W152" s="50"/>
      <c r="X152" s="53">
        <f>[3]L017!$L$8</f>
        <v>0</v>
      </c>
      <c r="Y152" s="53">
        <f>[3]L017!$L$9</f>
        <v>0</v>
      </c>
      <c r="Z152" s="50">
        <v>0</v>
      </c>
      <c r="AA152" s="53">
        <v>0</v>
      </c>
      <c r="AB152" s="53">
        <v>0</v>
      </c>
      <c r="AC152" s="53">
        <v>0</v>
      </c>
      <c r="AD152" s="53">
        <v>0</v>
      </c>
      <c r="AE152" s="53">
        <v>0</v>
      </c>
      <c r="AF152" s="53">
        <v>0</v>
      </c>
      <c r="AG152" s="52">
        <f>SUM(Tabla63[[#This Row],[ENERO]:[DICIEMBRE]])</f>
        <v>0</v>
      </c>
      <c r="AI152" s="48" t="s">
        <v>50</v>
      </c>
      <c r="AJ152" s="47">
        <v>17</v>
      </c>
      <c r="AK152" s="177"/>
      <c r="AL152" s="170">
        <v>0</v>
      </c>
      <c r="AM152" s="170">
        <f>[1]L001!$B$6</f>
        <v>1023300</v>
      </c>
      <c r="AN152" s="170">
        <v>0</v>
      </c>
      <c r="AO152" s="170">
        <v>0</v>
      </c>
      <c r="AP152" s="170">
        <v>0</v>
      </c>
      <c r="AQ152" s="50">
        <v>0</v>
      </c>
      <c r="AR152" s="50">
        <v>0</v>
      </c>
      <c r="AS152" s="50">
        <v>0</v>
      </c>
      <c r="AT152" s="50">
        <v>0</v>
      </c>
      <c r="AU152" s="50">
        <v>0</v>
      </c>
      <c r="AV152" s="50">
        <v>0</v>
      </c>
      <c r="AW152" s="50">
        <v>0</v>
      </c>
      <c r="AX152" s="45">
        <f>SUM(Tabla634[[#This Row],[ENERO]:[DICIEMBRE]])</f>
        <v>1023300</v>
      </c>
    </row>
    <row r="153" spans="1:50" hidden="1">
      <c r="A153" s="37" t="s">
        <v>50</v>
      </c>
      <c r="B153" s="36">
        <v>18</v>
      </c>
      <c r="C153" s="179" t="s">
        <v>192</v>
      </c>
      <c r="D153" s="76">
        <f>[1]P001!$K$5</f>
        <v>0</v>
      </c>
      <c r="E153" s="76">
        <f>[1]P001!$K$5</f>
        <v>0</v>
      </c>
      <c r="P153" s="42">
        <f>SUM(Tabla6[[#This Row],[ENERO]:[DICIEMBRE]])</f>
        <v>0</v>
      </c>
      <c r="R153" s="48" t="s">
        <v>50</v>
      </c>
      <c r="S153" s="47">
        <v>18</v>
      </c>
      <c r="T153" s="179" t="s">
        <v>192</v>
      </c>
      <c r="U153" s="53">
        <f>[3]L018!$L$5</f>
        <v>47600</v>
      </c>
      <c r="V153" s="53">
        <f>[3]L018!$L$5</f>
        <v>47600</v>
      </c>
      <c r="W153" s="50"/>
      <c r="X153" s="53">
        <f>[3]L018!$L$8</f>
        <v>0</v>
      </c>
      <c r="Y153" s="53">
        <f>[3]L018!$L$9</f>
        <v>0</v>
      </c>
      <c r="Z153" s="50">
        <v>0</v>
      </c>
      <c r="AA153" s="53">
        <v>0</v>
      </c>
      <c r="AB153" s="53">
        <v>0</v>
      </c>
      <c r="AC153" s="53">
        <v>0</v>
      </c>
      <c r="AD153" s="53">
        <v>0</v>
      </c>
      <c r="AE153" s="53">
        <v>0</v>
      </c>
      <c r="AF153" s="53">
        <v>0</v>
      </c>
      <c r="AG153" s="52">
        <f>SUM(Tabla63[[#This Row],[ENERO]:[DICIEMBRE]])</f>
        <v>95200</v>
      </c>
      <c r="AI153" s="48" t="s">
        <v>50</v>
      </c>
      <c r="AJ153" s="47">
        <v>18</v>
      </c>
      <c r="AK153" s="179" t="s">
        <v>192</v>
      </c>
      <c r="AL153" s="170">
        <v>0</v>
      </c>
      <c r="AM153" s="170">
        <f>[1]L001!$B$6</f>
        <v>1023300</v>
      </c>
      <c r="AN153" s="170">
        <v>0</v>
      </c>
      <c r="AO153" s="170">
        <v>0</v>
      </c>
      <c r="AP153" s="170">
        <v>0</v>
      </c>
      <c r="AQ153" s="50">
        <v>0</v>
      </c>
      <c r="AR153" s="50">
        <v>0</v>
      </c>
      <c r="AS153" s="50">
        <v>0</v>
      </c>
      <c r="AT153" s="50">
        <v>0</v>
      </c>
      <c r="AU153" s="50">
        <v>0</v>
      </c>
      <c r="AV153" s="50">
        <v>0</v>
      </c>
      <c r="AW153" s="50">
        <v>0</v>
      </c>
      <c r="AX153" s="45">
        <f>SUM(Tabla634[[#This Row],[ENERO]:[DICIEMBRE]])</f>
        <v>1023300</v>
      </c>
    </row>
    <row r="154" spans="1:50" hidden="1">
      <c r="A154" s="37" t="s">
        <v>50</v>
      </c>
      <c r="B154" s="36">
        <v>19</v>
      </c>
      <c r="D154" s="76">
        <f>[1]P001!$K$5</f>
        <v>0</v>
      </c>
      <c r="E154" s="76">
        <f>[1]P001!$K$5</f>
        <v>0</v>
      </c>
      <c r="P154" s="42">
        <f>SUM(Tabla6[[#This Row],[ENERO]:[DICIEMBRE]])</f>
        <v>0</v>
      </c>
      <c r="R154" s="48" t="s">
        <v>50</v>
      </c>
      <c r="S154" s="47">
        <v>19</v>
      </c>
      <c r="T154" s="177"/>
      <c r="U154" s="53">
        <f>[3]L019!$L$5</f>
        <v>0</v>
      </c>
      <c r="V154" s="53">
        <f>[3]L019!$L$5</f>
        <v>0</v>
      </c>
      <c r="W154" s="50"/>
      <c r="X154" s="53">
        <f>[3]L019!$L$8</f>
        <v>0</v>
      </c>
      <c r="Y154" s="53">
        <f>[3]L019!$L$9</f>
        <v>0</v>
      </c>
      <c r="Z154" s="50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0</v>
      </c>
      <c r="AF154" s="53">
        <v>0</v>
      </c>
      <c r="AG154" s="52">
        <f>SUM(Tabla63[[#This Row],[ENERO]:[DICIEMBRE]])</f>
        <v>0</v>
      </c>
      <c r="AI154" s="48" t="s">
        <v>50</v>
      </c>
      <c r="AJ154" s="47">
        <v>19</v>
      </c>
      <c r="AK154" s="177"/>
      <c r="AL154" s="170">
        <v>0</v>
      </c>
      <c r="AM154" s="170">
        <f>[1]L001!$B$6</f>
        <v>1023300</v>
      </c>
      <c r="AN154" s="170">
        <v>0</v>
      </c>
      <c r="AO154" s="170">
        <v>0</v>
      </c>
      <c r="AP154" s="170">
        <v>0</v>
      </c>
      <c r="AQ154" s="50">
        <v>0</v>
      </c>
      <c r="AR154" s="50">
        <v>0</v>
      </c>
      <c r="AS154" s="50">
        <v>0</v>
      </c>
      <c r="AT154" s="50">
        <v>0</v>
      </c>
      <c r="AU154" s="50">
        <v>0</v>
      </c>
      <c r="AV154" s="50">
        <v>0</v>
      </c>
      <c r="AW154" s="50">
        <v>0</v>
      </c>
      <c r="AX154" s="45">
        <f>SUM(Tabla634[[#This Row],[ENERO]:[DICIEMBRE]])</f>
        <v>1023300</v>
      </c>
    </row>
    <row r="155" spans="1:50" hidden="1">
      <c r="A155" s="37" t="s">
        <v>50</v>
      </c>
      <c r="B155" s="36">
        <v>20</v>
      </c>
      <c r="C155" s="177"/>
      <c r="D155" s="76">
        <f>[1]P001!$K$5</f>
        <v>0</v>
      </c>
      <c r="E155" s="76">
        <f>[1]P001!$K$5</f>
        <v>0</v>
      </c>
      <c r="P155" s="42">
        <f>SUM(Tabla6[[#This Row],[ENERO]:[DICIEMBRE]])</f>
        <v>0</v>
      </c>
      <c r="R155" s="48" t="s">
        <v>50</v>
      </c>
      <c r="S155" s="47">
        <v>20</v>
      </c>
      <c r="T155" s="177"/>
      <c r="U155" s="53">
        <f>[3]L020!$L$5</f>
        <v>157000</v>
      </c>
      <c r="V155" s="53">
        <f>[3]L020!$L$5</f>
        <v>157000</v>
      </c>
      <c r="W155" s="50"/>
      <c r="X155" s="53">
        <f>[3]L020!$L$8</f>
        <v>293700</v>
      </c>
      <c r="Y155" s="53">
        <f>[3]L020!$L$9</f>
        <v>227700</v>
      </c>
      <c r="Z155" s="50">
        <v>0</v>
      </c>
      <c r="AA155" s="53">
        <v>0</v>
      </c>
      <c r="AB155" s="53">
        <v>0</v>
      </c>
      <c r="AC155" s="53">
        <v>0</v>
      </c>
      <c r="AD155" s="53">
        <v>0</v>
      </c>
      <c r="AE155" s="53">
        <v>0</v>
      </c>
      <c r="AF155" s="53">
        <v>0</v>
      </c>
      <c r="AG155" s="52">
        <f>SUM(Tabla63[[#This Row],[ENERO]:[DICIEMBRE]])</f>
        <v>835400</v>
      </c>
      <c r="AI155" s="48" t="s">
        <v>50</v>
      </c>
      <c r="AJ155" s="47">
        <v>20</v>
      </c>
      <c r="AK155" s="177"/>
      <c r="AL155" s="170">
        <v>0</v>
      </c>
      <c r="AM155" s="170">
        <f>[1]L001!$B$6</f>
        <v>1023300</v>
      </c>
      <c r="AN155" s="170">
        <v>0</v>
      </c>
      <c r="AO155" s="170">
        <v>0</v>
      </c>
      <c r="AP155" s="170">
        <v>0</v>
      </c>
      <c r="AQ155" s="50">
        <v>0</v>
      </c>
      <c r="AR155" s="50">
        <v>0</v>
      </c>
      <c r="AS155" s="50">
        <v>0</v>
      </c>
      <c r="AT155" s="50">
        <v>0</v>
      </c>
      <c r="AU155" s="50">
        <v>0</v>
      </c>
      <c r="AV155" s="50">
        <v>0</v>
      </c>
      <c r="AW155" s="50">
        <v>0</v>
      </c>
      <c r="AX155" s="45">
        <f>SUM(Tabla634[[#This Row],[ENERO]:[DICIEMBRE]])</f>
        <v>1023300</v>
      </c>
    </row>
    <row r="156" spans="1:50" hidden="1">
      <c r="A156" s="37" t="s">
        <v>50</v>
      </c>
      <c r="B156" s="36">
        <v>21</v>
      </c>
      <c r="D156" s="76">
        <f>[1]P001!$K$5</f>
        <v>0</v>
      </c>
      <c r="E156" s="76">
        <f>[1]P001!$K$5</f>
        <v>0</v>
      </c>
      <c r="P156" s="42">
        <f>SUM(Tabla6[[#This Row],[ENERO]:[DICIEMBRE]])</f>
        <v>0</v>
      </c>
      <c r="R156" s="48" t="s">
        <v>50</v>
      </c>
      <c r="S156" s="47">
        <v>21</v>
      </c>
      <c r="T156" s="177"/>
      <c r="U156" s="53">
        <f>[3]L021!$L$5</f>
        <v>0</v>
      </c>
      <c r="V156" s="53">
        <f>[3]L021!$L$5</f>
        <v>0</v>
      </c>
      <c r="W156" s="50"/>
      <c r="X156" s="53">
        <f>[3]L021!$L$8</f>
        <v>0</v>
      </c>
      <c r="Y156" s="53">
        <f>[3]L021!$L$9</f>
        <v>0</v>
      </c>
      <c r="Z156" s="50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2">
        <f>SUM(Tabla63[[#This Row],[ENERO]:[DICIEMBRE]])</f>
        <v>0</v>
      </c>
      <c r="AI156" s="48" t="s">
        <v>50</v>
      </c>
      <c r="AJ156" s="47">
        <v>21</v>
      </c>
      <c r="AK156" s="177"/>
      <c r="AL156" s="170">
        <v>0</v>
      </c>
      <c r="AM156" s="170">
        <f>[1]L001!$B$6</f>
        <v>1023300</v>
      </c>
      <c r="AN156" s="170">
        <v>0</v>
      </c>
      <c r="AO156" s="170">
        <v>0</v>
      </c>
      <c r="AP156" s="170">
        <v>0</v>
      </c>
      <c r="AQ156" s="50">
        <v>0</v>
      </c>
      <c r="AR156" s="50">
        <v>0</v>
      </c>
      <c r="AS156" s="50">
        <v>0</v>
      </c>
      <c r="AT156" s="50">
        <v>0</v>
      </c>
      <c r="AU156" s="50">
        <v>0</v>
      </c>
      <c r="AV156" s="50">
        <v>0</v>
      </c>
      <c r="AW156" s="50">
        <v>0</v>
      </c>
      <c r="AX156" s="45">
        <f>SUM(Tabla634[[#This Row],[ENERO]:[DICIEMBRE]])</f>
        <v>1023300</v>
      </c>
    </row>
    <row r="157" spans="1:50" hidden="1">
      <c r="A157" s="37" t="s">
        <v>50</v>
      </c>
      <c r="B157" s="36">
        <v>22</v>
      </c>
      <c r="C157" s="177" t="s">
        <v>181</v>
      </c>
      <c r="D157" s="76">
        <f>[1]P001!$K$5</f>
        <v>0</v>
      </c>
      <c r="E157" s="76">
        <f>[1]P001!$K$5</f>
        <v>0</v>
      </c>
      <c r="P157" s="42">
        <f>SUM(Tabla6[[#This Row],[ENERO]:[DICIEMBRE]])</f>
        <v>0</v>
      </c>
      <c r="R157" s="48" t="s">
        <v>50</v>
      </c>
      <c r="S157" s="47">
        <v>22</v>
      </c>
      <c r="T157" s="177" t="s">
        <v>181</v>
      </c>
      <c r="U157" s="53">
        <f>[3]L022!$L$5</f>
        <v>147000</v>
      </c>
      <c r="V157" s="53">
        <f>[3]L022!$L$5</f>
        <v>147000</v>
      </c>
      <c r="W157" s="50"/>
      <c r="X157" s="53">
        <f>[3]L022!$L$8</f>
        <v>266500</v>
      </c>
      <c r="Y157" s="53">
        <f>[3]L022!$L$9</f>
        <v>326000</v>
      </c>
      <c r="Z157" s="50">
        <v>0</v>
      </c>
      <c r="AA157" s="53">
        <v>0</v>
      </c>
      <c r="AB157" s="53">
        <v>0</v>
      </c>
      <c r="AC157" s="53">
        <v>0</v>
      </c>
      <c r="AD157" s="53">
        <v>0</v>
      </c>
      <c r="AE157" s="53">
        <v>0</v>
      </c>
      <c r="AF157" s="53">
        <v>0</v>
      </c>
      <c r="AG157" s="52">
        <f>SUM(Tabla63[[#This Row],[ENERO]:[DICIEMBRE]])</f>
        <v>886500</v>
      </c>
      <c r="AI157" s="48" t="s">
        <v>50</v>
      </c>
      <c r="AJ157" s="47">
        <v>22</v>
      </c>
      <c r="AK157" s="177" t="s">
        <v>181</v>
      </c>
      <c r="AL157" s="170">
        <v>0</v>
      </c>
      <c r="AM157" s="170">
        <f>[1]L001!$B$6</f>
        <v>1023300</v>
      </c>
      <c r="AN157" s="170">
        <v>0</v>
      </c>
      <c r="AO157" s="170">
        <v>0</v>
      </c>
      <c r="AP157" s="170">
        <v>0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45">
        <f>SUM(Tabla634[[#This Row],[ENERO]:[DICIEMBRE]])</f>
        <v>1023300</v>
      </c>
    </row>
    <row r="158" spans="1:50" hidden="1">
      <c r="A158" s="37" t="s">
        <v>50</v>
      </c>
      <c r="B158" s="36">
        <v>23</v>
      </c>
      <c r="D158" s="76">
        <f>[1]P001!$K$5</f>
        <v>0</v>
      </c>
      <c r="E158" s="76">
        <f>[1]P001!$K$5</f>
        <v>0</v>
      </c>
      <c r="P158" s="42">
        <f>SUM(Tabla6[[#This Row],[ENERO]:[DICIEMBRE]])</f>
        <v>0</v>
      </c>
      <c r="R158" s="48" t="s">
        <v>50</v>
      </c>
      <c r="S158" s="47">
        <v>23</v>
      </c>
      <c r="T158" s="177"/>
      <c r="U158" s="53">
        <f>[3]L023!$L$5</f>
        <v>0</v>
      </c>
      <c r="V158" s="53">
        <f>[3]L023!$L$5</f>
        <v>0</v>
      </c>
      <c r="W158" s="50"/>
      <c r="X158" s="53">
        <f>[3]L023!$L$8</f>
        <v>0</v>
      </c>
      <c r="Y158" s="53">
        <f>[3]L023!$L$9</f>
        <v>0</v>
      </c>
      <c r="Z158" s="50">
        <v>0</v>
      </c>
      <c r="AA158" s="53">
        <v>0</v>
      </c>
      <c r="AB158" s="53">
        <v>0</v>
      </c>
      <c r="AC158" s="53">
        <v>0</v>
      </c>
      <c r="AD158" s="53">
        <v>0</v>
      </c>
      <c r="AE158" s="53">
        <v>0</v>
      </c>
      <c r="AF158" s="53">
        <v>0</v>
      </c>
      <c r="AG158" s="52">
        <f>SUM(Tabla63[[#This Row],[ENERO]:[DICIEMBRE]])</f>
        <v>0</v>
      </c>
      <c r="AI158" s="48" t="s">
        <v>50</v>
      </c>
      <c r="AJ158" s="47">
        <v>23</v>
      </c>
      <c r="AK158" s="177"/>
      <c r="AL158" s="170">
        <v>0</v>
      </c>
      <c r="AM158" s="170">
        <f>[1]L001!$B$6</f>
        <v>1023300</v>
      </c>
      <c r="AN158" s="170">
        <v>0</v>
      </c>
      <c r="AO158" s="170">
        <v>0</v>
      </c>
      <c r="AP158" s="170">
        <v>0</v>
      </c>
      <c r="AQ158" s="50">
        <v>0</v>
      </c>
      <c r="AR158" s="50">
        <v>0</v>
      </c>
      <c r="AS158" s="50">
        <v>0</v>
      </c>
      <c r="AT158" s="50">
        <v>0</v>
      </c>
      <c r="AU158" s="50">
        <v>0</v>
      </c>
      <c r="AV158" s="50">
        <v>0</v>
      </c>
      <c r="AW158" s="50">
        <v>0</v>
      </c>
      <c r="AX158" s="45">
        <f>SUM(Tabla634[[#This Row],[ENERO]:[DICIEMBRE]])</f>
        <v>1023300</v>
      </c>
    </row>
    <row r="159" spans="1:50" hidden="1">
      <c r="A159" s="37" t="s">
        <v>50</v>
      </c>
      <c r="B159" s="36">
        <v>24</v>
      </c>
      <c r="D159" s="76">
        <f>[1]P001!$K$5</f>
        <v>0</v>
      </c>
      <c r="E159" s="76">
        <f>[1]P001!$K$5</f>
        <v>0</v>
      </c>
      <c r="P159" s="42">
        <f>SUM(Tabla6[[#This Row],[ENERO]:[DICIEMBRE]])</f>
        <v>0</v>
      </c>
      <c r="R159" s="48" t="s">
        <v>50</v>
      </c>
      <c r="S159" s="47">
        <v>24</v>
      </c>
      <c r="T159" s="177"/>
      <c r="U159" s="53">
        <f>[3]L024!$L$5</f>
        <v>0</v>
      </c>
      <c r="V159" s="53">
        <f>[3]L024!$L$5</f>
        <v>0</v>
      </c>
      <c r="W159" s="50"/>
      <c r="X159" s="53">
        <f>[3]L024!$L$8</f>
        <v>0</v>
      </c>
      <c r="Y159" s="53">
        <f>[3]L024!$L$9</f>
        <v>0</v>
      </c>
      <c r="Z159" s="50">
        <v>0</v>
      </c>
      <c r="AA159" s="53">
        <v>0</v>
      </c>
      <c r="AB159" s="53">
        <v>0</v>
      </c>
      <c r="AC159" s="53">
        <v>0</v>
      </c>
      <c r="AD159" s="53">
        <v>0</v>
      </c>
      <c r="AE159" s="53">
        <v>0</v>
      </c>
      <c r="AF159" s="53">
        <v>0</v>
      </c>
      <c r="AG159" s="52">
        <f>SUM(Tabla63[[#This Row],[ENERO]:[DICIEMBRE]])</f>
        <v>0</v>
      </c>
      <c r="AI159" s="48" t="s">
        <v>50</v>
      </c>
      <c r="AJ159" s="47">
        <v>24</v>
      </c>
      <c r="AK159" s="177"/>
      <c r="AL159" s="170">
        <v>0</v>
      </c>
      <c r="AM159" s="170">
        <f>[1]L001!$B$6</f>
        <v>1023300</v>
      </c>
      <c r="AN159" s="170">
        <v>0</v>
      </c>
      <c r="AO159" s="170">
        <v>0</v>
      </c>
      <c r="AP159" s="170">
        <v>0</v>
      </c>
      <c r="AQ159" s="50">
        <v>0</v>
      </c>
      <c r="AR159" s="50">
        <v>0</v>
      </c>
      <c r="AS159" s="50">
        <v>0</v>
      </c>
      <c r="AT159" s="50">
        <v>0</v>
      </c>
      <c r="AU159" s="50">
        <v>0</v>
      </c>
      <c r="AV159" s="50">
        <v>0</v>
      </c>
      <c r="AW159" s="50">
        <v>0</v>
      </c>
      <c r="AX159" s="45">
        <f>SUM(Tabla634[[#This Row],[ENERO]:[DICIEMBRE]])</f>
        <v>1023300</v>
      </c>
    </row>
    <row r="160" spans="1:50" hidden="1">
      <c r="A160" s="37" t="s">
        <v>50</v>
      </c>
      <c r="B160" s="36">
        <v>25</v>
      </c>
      <c r="D160" s="76">
        <f>[1]P001!$K$5</f>
        <v>0</v>
      </c>
      <c r="E160" s="76">
        <f>[1]P001!$K$5</f>
        <v>0</v>
      </c>
      <c r="P160" s="42">
        <f>SUM(Tabla6[[#This Row],[ENERO]:[DICIEMBRE]])</f>
        <v>0</v>
      </c>
      <c r="R160" s="48" t="s">
        <v>50</v>
      </c>
      <c r="S160" s="47">
        <v>25</v>
      </c>
      <c r="T160" s="177"/>
      <c r="U160" s="53">
        <f>[3]L025!$L$5</f>
        <v>0</v>
      </c>
      <c r="V160" s="53">
        <f>[3]L025!$L$5</f>
        <v>0</v>
      </c>
      <c r="W160" s="50"/>
      <c r="X160" s="53">
        <f>[3]L025!$L$8</f>
        <v>0</v>
      </c>
      <c r="Y160" s="53">
        <f>[3]L025!$L$9</f>
        <v>0</v>
      </c>
      <c r="Z160" s="50">
        <v>0</v>
      </c>
      <c r="AA160" s="53">
        <v>0</v>
      </c>
      <c r="AB160" s="53">
        <v>0</v>
      </c>
      <c r="AC160" s="53">
        <v>0</v>
      </c>
      <c r="AD160" s="53">
        <v>0</v>
      </c>
      <c r="AE160" s="53">
        <v>0</v>
      </c>
      <c r="AF160" s="53">
        <v>0</v>
      </c>
      <c r="AG160" s="52">
        <f>SUM(Tabla63[[#This Row],[ENERO]:[DICIEMBRE]])</f>
        <v>0</v>
      </c>
      <c r="AI160" s="48" t="s">
        <v>50</v>
      </c>
      <c r="AJ160" s="47">
        <v>25</v>
      </c>
      <c r="AK160" s="177"/>
      <c r="AL160" s="170">
        <v>0</v>
      </c>
      <c r="AM160" s="170">
        <f>[1]L001!$B$6</f>
        <v>1023300</v>
      </c>
      <c r="AN160" s="170">
        <v>0</v>
      </c>
      <c r="AO160" s="170">
        <v>0</v>
      </c>
      <c r="AP160" s="170">
        <v>0</v>
      </c>
      <c r="AQ160" s="50">
        <v>0</v>
      </c>
      <c r="AR160" s="50">
        <v>0</v>
      </c>
      <c r="AS160" s="50">
        <v>0</v>
      </c>
      <c r="AT160" s="50">
        <v>0</v>
      </c>
      <c r="AU160" s="50">
        <v>0</v>
      </c>
      <c r="AV160" s="50">
        <v>0</v>
      </c>
      <c r="AW160" s="50">
        <v>0</v>
      </c>
      <c r="AX160" s="45">
        <f>SUM(Tabla634[[#This Row],[ENERO]:[DICIEMBRE]])</f>
        <v>1023300</v>
      </c>
    </row>
    <row r="161" spans="1:50" hidden="1">
      <c r="A161" s="37" t="s">
        <v>50</v>
      </c>
      <c r="B161" s="36">
        <v>26</v>
      </c>
      <c r="D161" s="76">
        <f>[1]P001!$K$5</f>
        <v>0</v>
      </c>
      <c r="E161" s="76">
        <f>[1]P001!$K$5</f>
        <v>0</v>
      </c>
      <c r="P161" s="42">
        <f>SUM(Tabla6[[#This Row],[ENERO]:[DICIEMBRE]])</f>
        <v>0</v>
      </c>
      <c r="R161" s="48" t="s">
        <v>50</v>
      </c>
      <c r="S161" s="47">
        <v>26</v>
      </c>
      <c r="T161" s="177"/>
      <c r="U161" s="53">
        <f>[3]L026!$L$5</f>
        <v>0</v>
      </c>
      <c r="V161" s="53">
        <f>[3]L026!$L$5</f>
        <v>0</v>
      </c>
      <c r="W161" s="50"/>
      <c r="X161" s="53">
        <f>[3]L026!$L$8</f>
        <v>0</v>
      </c>
      <c r="Y161" s="53">
        <f>[3]L026!$L$9</f>
        <v>0</v>
      </c>
      <c r="Z161" s="50">
        <v>0</v>
      </c>
      <c r="AA161" s="53">
        <v>0</v>
      </c>
      <c r="AB161" s="53">
        <v>0</v>
      </c>
      <c r="AC161" s="53">
        <v>0</v>
      </c>
      <c r="AD161" s="53">
        <v>0</v>
      </c>
      <c r="AE161" s="53">
        <v>0</v>
      </c>
      <c r="AF161" s="53">
        <v>0</v>
      </c>
      <c r="AG161" s="52">
        <f>SUM(Tabla63[[#This Row],[ENERO]:[DICIEMBRE]])</f>
        <v>0</v>
      </c>
      <c r="AI161" s="48" t="s">
        <v>50</v>
      </c>
      <c r="AJ161" s="47">
        <v>26</v>
      </c>
      <c r="AK161" s="177"/>
      <c r="AL161" s="170">
        <v>0</v>
      </c>
      <c r="AM161" s="170">
        <f>[1]L001!$B$6</f>
        <v>1023300</v>
      </c>
      <c r="AN161" s="170">
        <v>0</v>
      </c>
      <c r="AO161" s="170">
        <v>0</v>
      </c>
      <c r="AP161" s="170">
        <v>0</v>
      </c>
      <c r="AQ161" s="50">
        <v>0</v>
      </c>
      <c r="AR161" s="50">
        <v>0</v>
      </c>
      <c r="AS161" s="50">
        <v>0</v>
      </c>
      <c r="AT161" s="50">
        <v>0</v>
      </c>
      <c r="AU161" s="50">
        <v>0</v>
      </c>
      <c r="AV161" s="50">
        <v>0</v>
      </c>
      <c r="AW161" s="50">
        <v>0</v>
      </c>
      <c r="AX161" s="45">
        <f>SUM(Tabla634[[#This Row],[ENERO]:[DICIEMBRE]])</f>
        <v>1023300</v>
      </c>
    </row>
    <row r="162" spans="1:50">
      <c r="A162" s="37" t="s">
        <v>50</v>
      </c>
      <c r="B162" s="36">
        <v>27</v>
      </c>
      <c r="C162" s="407" t="s">
        <v>234</v>
      </c>
      <c r="D162" s="76">
        <f>[1]L027!$K$5</f>
        <v>0</v>
      </c>
      <c r="E162" s="76">
        <f>[1]L027!$K$6</f>
        <v>460400</v>
      </c>
      <c r="P162" s="42">
        <f>SUM(Tabla6[[#This Row],[ENERO]:[DICIEMBRE]])</f>
        <v>460400</v>
      </c>
      <c r="R162" s="48" t="s">
        <v>50</v>
      </c>
      <c r="S162" s="47">
        <v>27</v>
      </c>
      <c r="T162" s="177" t="s">
        <v>182</v>
      </c>
      <c r="U162" s="53">
        <f>[2]L027!$L$5</f>
        <v>460400</v>
      </c>
      <c r="V162" s="53">
        <f>[2]L027!$L$6</f>
        <v>0</v>
      </c>
      <c r="W162" s="50"/>
      <c r="X162" s="53">
        <v>0</v>
      </c>
      <c r="Y162" s="53">
        <v>0</v>
      </c>
      <c r="Z162" s="50">
        <v>0</v>
      </c>
      <c r="AA162" s="53">
        <v>0</v>
      </c>
      <c r="AB162" s="53">
        <v>0</v>
      </c>
      <c r="AC162" s="53">
        <v>0</v>
      </c>
      <c r="AD162" s="53">
        <v>0</v>
      </c>
      <c r="AE162" s="53">
        <v>0</v>
      </c>
      <c r="AF162" s="53">
        <v>0</v>
      </c>
      <c r="AG162" s="52">
        <f>SUM(Tabla63[[#This Row],[ENERO]:[DICIEMBRE]])</f>
        <v>460400</v>
      </c>
      <c r="AI162" s="48" t="s">
        <v>50</v>
      </c>
      <c r="AJ162" s="47">
        <v>27</v>
      </c>
      <c r="AK162" s="177" t="s">
        <v>182</v>
      </c>
      <c r="AL162" s="170">
        <f>[2]L027!$B$5</f>
        <v>460400</v>
      </c>
      <c r="AM162" s="170">
        <f>[1]L027!$B$6</f>
        <v>460400</v>
      </c>
      <c r="AN162" s="170">
        <v>0</v>
      </c>
      <c r="AO162" s="170">
        <v>0</v>
      </c>
      <c r="AP162" s="170">
        <v>0</v>
      </c>
      <c r="AQ162" s="50">
        <v>0</v>
      </c>
      <c r="AR162" s="50">
        <v>0</v>
      </c>
      <c r="AS162" s="50">
        <v>0</v>
      </c>
      <c r="AT162" s="50">
        <v>0</v>
      </c>
      <c r="AU162" s="50">
        <v>0</v>
      </c>
      <c r="AV162" s="50">
        <v>0</v>
      </c>
      <c r="AW162" s="50">
        <v>0</v>
      </c>
      <c r="AX162" s="45">
        <f>SUM(Tabla634[[#This Row],[ENERO]:[DICIEMBRE]])</f>
        <v>920800</v>
      </c>
    </row>
    <row r="163" spans="1:50" hidden="1">
      <c r="A163" s="37" t="s">
        <v>50</v>
      </c>
      <c r="B163" s="36">
        <v>28</v>
      </c>
      <c r="D163" s="76">
        <f>[1]P001!$K$5</f>
        <v>0</v>
      </c>
      <c r="E163" s="76">
        <f>[1]P001!$K$5</f>
        <v>0</v>
      </c>
      <c r="P163" s="42">
        <f>SUM(Tabla6[[#This Row],[ENERO]:[DICIEMBRE]])</f>
        <v>0</v>
      </c>
      <c r="R163" s="48" t="s">
        <v>50</v>
      </c>
      <c r="S163" s="47">
        <v>28</v>
      </c>
      <c r="T163" s="177"/>
      <c r="U163" s="53">
        <f>[3]L028!$L$5</f>
        <v>0</v>
      </c>
      <c r="V163" s="53">
        <f>[3]L028!$L$5</f>
        <v>0</v>
      </c>
      <c r="W163" s="50"/>
      <c r="X163" s="53">
        <f>[3]L028!$L$8</f>
        <v>0</v>
      </c>
      <c r="Y163" s="53">
        <f>[3]L028!$L$9</f>
        <v>0</v>
      </c>
      <c r="Z163" s="50">
        <v>0</v>
      </c>
      <c r="AA163" s="53">
        <v>0</v>
      </c>
      <c r="AB163" s="53">
        <v>0</v>
      </c>
      <c r="AC163" s="53">
        <v>0</v>
      </c>
      <c r="AD163" s="53">
        <v>0</v>
      </c>
      <c r="AE163" s="53">
        <v>0</v>
      </c>
      <c r="AF163" s="53">
        <v>0</v>
      </c>
      <c r="AG163" s="52">
        <f>SUM(Tabla63[[#This Row],[ENERO]:[DICIEMBRE]])</f>
        <v>0</v>
      </c>
      <c r="AI163" s="48" t="s">
        <v>50</v>
      </c>
      <c r="AJ163" s="47">
        <v>28</v>
      </c>
      <c r="AK163" s="177"/>
      <c r="AL163" s="170">
        <v>0</v>
      </c>
      <c r="AM163" s="170">
        <f>[1]L001!$B$6</f>
        <v>1023300</v>
      </c>
      <c r="AN163" s="170">
        <v>0</v>
      </c>
      <c r="AO163" s="170">
        <v>0</v>
      </c>
      <c r="AP163" s="17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45">
        <f>SUM(Tabla634[[#This Row],[ENERO]:[DICIEMBRE]])</f>
        <v>1023300</v>
      </c>
    </row>
    <row r="164" spans="1:50" hidden="1">
      <c r="A164" s="37" t="s">
        <v>50</v>
      </c>
      <c r="B164" s="36">
        <v>29</v>
      </c>
      <c r="D164" s="76">
        <f>[1]P001!$K$5</f>
        <v>0</v>
      </c>
      <c r="E164" s="76">
        <f>[1]P001!$K$5</f>
        <v>0</v>
      </c>
      <c r="P164" s="42">
        <f>SUM(Tabla6[[#This Row],[ENERO]:[DICIEMBRE]])</f>
        <v>0</v>
      </c>
      <c r="R164" s="48" t="s">
        <v>50</v>
      </c>
      <c r="S164" s="47">
        <v>29</v>
      </c>
      <c r="T164" s="177"/>
      <c r="U164" s="53">
        <f>[3]L029!$L$5</f>
        <v>0</v>
      </c>
      <c r="V164" s="53">
        <f>[3]L029!$L$5</f>
        <v>0</v>
      </c>
      <c r="W164" s="50"/>
      <c r="X164" s="53">
        <f>[3]L029!$L$8</f>
        <v>0</v>
      </c>
      <c r="Y164" s="53">
        <f>[3]L029!$L$9</f>
        <v>0</v>
      </c>
      <c r="Z164" s="50">
        <v>0</v>
      </c>
      <c r="AA164" s="53">
        <v>0</v>
      </c>
      <c r="AB164" s="53">
        <v>0</v>
      </c>
      <c r="AC164" s="53">
        <v>0</v>
      </c>
      <c r="AD164" s="53">
        <v>0</v>
      </c>
      <c r="AE164" s="53">
        <v>0</v>
      </c>
      <c r="AF164" s="53">
        <v>0</v>
      </c>
      <c r="AG164" s="52">
        <f>SUM(Tabla63[[#This Row],[ENERO]:[DICIEMBRE]])</f>
        <v>0</v>
      </c>
      <c r="AI164" s="48" t="s">
        <v>50</v>
      </c>
      <c r="AJ164" s="47">
        <v>29</v>
      </c>
      <c r="AK164" s="177"/>
      <c r="AL164" s="170">
        <v>0</v>
      </c>
      <c r="AM164" s="170">
        <f>[1]L001!$B$6</f>
        <v>1023300</v>
      </c>
      <c r="AN164" s="170">
        <v>0</v>
      </c>
      <c r="AO164" s="170">
        <v>0</v>
      </c>
      <c r="AP164" s="170">
        <v>0</v>
      </c>
      <c r="AQ164" s="50">
        <v>0</v>
      </c>
      <c r="AR164" s="50">
        <v>0</v>
      </c>
      <c r="AS164" s="50">
        <v>0</v>
      </c>
      <c r="AT164" s="50">
        <v>0</v>
      </c>
      <c r="AU164" s="50">
        <v>0</v>
      </c>
      <c r="AV164" s="50">
        <v>0</v>
      </c>
      <c r="AW164" s="50">
        <v>0</v>
      </c>
      <c r="AX164" s="45">
        <f>SUM(Tabla634[[#This Row],[ENERO]:[DICIEMBRE]])</f>
        <v>1023300</v>
      </c>
    </row>
    <row r="165" spans="1:50">
      <c r="A165" s="37" t="s">
        <v>50</v>
      </c>
      <c r="B165" s="36">
        <v>30</v>
      </c>
      <c r="C165" s="177" t="s">
        <v>183</v>
      </c>
      <c r="D165" s="76">
        <f>[1]L030!$K$5</f>
        <v>0</v>
      </c>
      <c r="E165" s="76">
        <f>[1]L030!$K$6</f>
        <v>258300</v>
      </c>
      <c r="P165" s="42">
        <f>SUM(Tabla6[[#This Row],[ENERO]:[DICIEMBRE]])</f>
        <v>258300</v>
      </c>
      <c r="R165" s="48" t="s">
        <v>50</v>
      </c>
      <c r="S165" s="47">
        <v>30</v>
      </c>
      <c r="T165" s="177" t="s">
        <v>183</v>
      </c>
      <c r="U165" s="53">
        <f>[2]L030!$L$5</f>
        <v>40500</v>
      </c>
      <c r="V165" s="53">
        <f>[2]L030!$L$6</f>
        <v>0</v>
      </c>
      <c r="W165" s="50"/>
      <c r="X165" s="53">
        <v>0</v>
      </c>
      <c r="Y165" s="53">
        <v>0</v>
      </c>
      <c r="Z165" s="50">
        <v>0</v>
      </c>
      <c r="AA165" s="53">
        <v>0</v>
      </c>
      <c r="AB165" s="53">
        <v>0</v>
      </c>
      <c r="AC165" s="53">
        <v>0</v>
      </c>
      <c r="AD165" s="53">
        <v>0</v>
      </c>
      <c r="AE165" s="53">
        <v>0</v>
      </c>
      <c r="AF165" s="53">
        <v>0</v>
      </c>
      <c r="AG165" s="52">
        <f>SUM(Tabla63[[#This Row],[ENERO]:[DICIEMBRE]])</f>
        <v>40500</v>
      </c>
      <c r="AI165" s="48" t="s">
        <v>50</v>
      </c>
      <c r="AJ165" s="47">
        <v>30</v>
      </c>
      <c r="AK165" s="177" t="s">
        <v>183</v>
      </c>
      <c r="AL165" s="170">
        <f>[2]L030!$B$5</f>
        <v>1217800</v>
      </c>
      <c r="AM165" s="170">
        <f>[1]L030!$B$6</f>
        <v>1217800</v>
      </c>
      <c r="AN165" s="170">
        <v>0</v>
      </c>
      <c r="AO165" s="170">
        <v>0</v>
      </c>
      <c r="AP165" s="170">
        <v>0</v>
      </c>
      <c r="AQ165" s="50">
        <v>0</v>
      </c>
      <c r="AR165" s="50">
        <v>0</v>
      </c>
      <c r="AS165" s="50">
        <v>0</v>
      </c>
      <c r="AT165" s="50">
        <v>0</v>
      </c>
      <c r="AU165" s="50">
        <v>0</v>
      </c>
      <c r="AV165" s="50">
        <v>0</v>
      </c>
      <c r="AW165" s="50">
        <v>0</v>
      </c>
      <c r="AX165" s="45">
        <f>SUM(Tabla634[[#This Row],[ENERO]:[DICIEMBRE]])</f>
        <v>2435600</v>
      </c>
    </row>
    <row r="166" spans="1:50" hidden="1">
      <c r="A166" s="78" t="s">
        <v>50</v>
      </c>
      <c r="B166" s="77" t="s">
        <v>113</v>
      </c>
      <c r="D166" s="76">
        <f>[1]P001!$K$5</f>
        <v>0</v>
      </c>
      <c r="E166" s="76">
        <f>[1]P001!$K$5</f>
        <v>0</v>
      </c>
      <c r="P166" s="42">
        <f>SUM(Tabla6[[#This Row],[ENERO]:[DICIEMBRE]])</f>
        <v>0</v>
      </c>
      <c r="R166" s="48" t="s">
        <v>50</v>
      </c>
      <c r="S166" s="47" t="s">
        <v>113</v>
      </c>
      <c r="T166" s="177"/>
      <c r="U166" s="53">
        <f>[3]L030B!$L$5</f>
        <v>0</v>
      </c>
      <c r="V166" s="53">
        <f>[3]L030B!$L$5</f>
        <v>0</v>
      </c>
      <c r="W166" s="50"/>
      <c r="X166" s="53">
        <f>[3]L030B!$L$8</f>
        <v>0</v>
      </c>
      <c r="Y166" s="53">
        <f>[3]L030B!$L$9</f>
        <v>0</v>
      </c>
      <c r="Z166" s="50">
        <v>0</v>
      </c>
      <c r="AA166" s="53">
        <v>0</v>
      </c>
      <c r="AB166" s="53">
        <v>0</v>
      </c>
      <c r="AC166" s="53">
        <v>0</v>
      </c>
      <c r="AD166" s="53">
        <v>0</v>
      </c>
      <c r="AE166" s="53">
        <v>0</v>
      </c>
      <c r="AF166" s="53">
        <v>0</v>
      </c>
      <c r="AG166" s="79">
        <f>SUM(Tabla63[[#This Row],[ENERO]:[DICIEMBRE]])</f>
        <v>0</v>
      </c>
      <c r="AI166" s="48" t="s">
        <v>50</v>
      </c>
      <c r="AJ166" s="47" t="s">
        <v>113</v>
      </c>
      <c r="AK166" s="177"/>
      <c r="AL166" s="170">
        <v>0</v>
      </c>
      <c r="AM166" s="170">
        <f>[1]L001!$B$6</f>
        <v>1023300</v>
      </c>
      <c r="AN166" s="170">
        <v>0</v>
      </c>
      <c r="AO166" s="170">
        <v>0</v>
      </c>
      <c r="AP166" s="170">
        <v>0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>
        <v>0</v>
      </c>
      <c r="AW166" s="50">
        <v>0</v>
      </c>
      <c r="AX166" s="80">
        <f>SUM(Tabla634[[#This Row],[ENERO]:[DICIEMBRE]])</f>
        <v>1023300</v>
      </c>
    </row>
    <row r="167" spans="1:50" hidden="1">
      <c r="A167" s="37" t="s">
        <v>50</v>
      </c>
      <c r="B167" s="36">
        <v>31</v>
      </c>
      <c r="D167" s="76">
        <f>[1]P001!$K$5</f>
        <v>0</v>
      </c>
      <c r="E167" s="76">
        <f>[1]P001!$K$5</f>
        <v>0</v>
      </c>
      <c r="P167" s="42">
        <f>SUM(Tabla6[[#This Row],[ENERO]:[DICIEMBRE]])</f>
        <v>0</v>
      </c>
      <c r="R167" s="48" t="s">
        <v>50</v>
      </c>
      <c r="S167" s="47">
        <v>31</v>
      </c>
      <c r="T167" s="177"/>
      <c r="U167" s="53">
        <f>[3]L031!$L$5</f>
        <v>0</v>
      </c>
      <c r="V167" s="53">
        <f>[3]L031!$L$5</f>
        <v>0</v>
      </c>
      <c r="W167" s="50"/>
      <c r="X167" s="53">
        <f>[3]L031!$L$8</f>
        <v>0</v>
      </c>
      <c r="Y167" s="53">
        <f>[3]L031!$L$9</f>
        <v>0</v>
      </c>
      <c r="Z167" s="50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0</v>
      </c>
      <c r="AF167" s="53">
        <v>0</v>
      </c>
      <c r="AG167" s="52">
        <f>SUM(Tabla63[[#This Row],[ENERO]:[DICIEMBRE]])</f>
        <v>0</v>
      </c>
      <c r="AI167" s="48" t="s">
        <v>50</v>
      </c>
      <c r="AJ167" s="47">
        <v>31</v>
      </c>
      <c r="AK167" s="177"/>
      <c r="AL167" s="170">
        <v>0</v>
      </c>
      <c r="AM167" s="170">
        <f>[1]L001!$B$6</f>
        <v>1023300</v>
      </c>
      <c r="AN167" s="170">
        <v>0</v>
      </c>
      <c r="AO167" s="170">
        <v>0</v>
      </c>
      <c r="AP167" s="170">
        <v>0</v>
      </c>
      <c r="AQ167" s="50">
        <v>0</v>
      </c>
      <c r="AR167" s="50">
        <v>0</v>
      </c>
      <c r="AS167" s="50">
        <v>0</v>
      </c>
      <c r="AT167" s="50">
        <v>0</v>
      </c>
      <c r="AU167" s="50">
        <v>0</v>
      </c>
      <c r="AV167" s="50">
        <v>0</v>
      </c>
      <c r="AW167" s="50">
        <v>0</v>
      </c>
      <c r="AX167" s="45">
        <f>SUM(Tabla634[[#This Row],[ENERO]:[DICIEMBRE]])</f>
        <v>1023300</v>
      </c>
    </row>
    <row r="168" spans="1:50">
      <c r="A168" s="37" t="s">
        <v>50</v>
      </c>
      <c r="B168" s="36">
        <v>32</v>
      </c>
      <c r="C168" s="177" t="s">
        <v>184</v>
      </c>
      <c r="D168" s="76">
        <f>[1]P001!$K$5</f>
        <v>0</v>
      </c>
      <c r="E168" s="76">
        <f>[1]P001!$K$6</f>
        <v>0</v>
      </c>
      <c r="P168" s="42">
        <f>SUM(Tabla6[[#This Row],[ENERO]:[DICIEMBRE]])</f>
        <v>0</v>
      </c>
      <c r="R168" s="48" t="s">
        <v>50</v>
      </c>
      <c r="S168" s="47">
        <v>32</v>
      </c>
      <c r="T168" s="177" t="s">
        <v>184</v>
      </c>
      <c r="U168" s="53">
        <f>[2]L032!$L$5</f>
        <v>0</v>
      </c>
      <c r="V168" s="53">
        <f>[2]L032!$L$6</f>
        <v>0</v>
      </c>
      <c r="W168" s="50"/>
      <c r="X168" s="53">
        <v>0</v>
      </c>
      <c r="Y168" s="53">
        <v>0</v>
      </c>
      <c r="Z168" s="50">
        <v>0</v>
      </c>
      <c r="AA168" s="53">
        <v>0</v>
      </c>
      <c r="AB168" s="53">
        <v>0</v>
      </c>
      <c r="AC168" s="53">
        <v>0</v>
      </c>
      <c r="AD168" s="53">
        <v>0</v>
      </c>
      <c r="AE168" s="53">
        <v>0</v>
      </c>
      <c r="AF168" s="53">
        <v>0</v>
      </c>
      <c r="AG168" s="52">
        <f>SUM(Tabla63[[#This Row],[ENERO]:[DICIEMBRE]])</f>
        <v>0</v>
      </c>
      <c r="AI168" s="48" t="s">
        <v>50</v>
      </c>
      <c r="AJ168" s="47">
        <v>32</v>
      </c>
      <c r="AK168" s="389" t="s">
        <v>220</v>
      </c>
      <c r="AL168" s="170">
        <f>[2]L032!$B$5</f>
        <v>177600</v>
      </c>
      <c r="AM168" s="170">
        <f>[1]L032!$B$6</f>
        <v>177600</v>
      </c>
      <c r="AN168" s="170">
        <v>0</v>
      </c>
      <c r="AO168" s="170">
        <v>0</v>
      </c>
      <c r="AP168" s="170">
        <v>0</v>
      </c>
      <c r="AQ168" s="50">
        <v>0</v>
      </c>
      <c r="AR168" s="50">
        <v>0</v>
      </c>
      <c r="AS168" s="50">
        <v>0</v>
      </c>
      <c r="AT168" s="50">
        <v>0</v>
      </c>
      <c r="AU168" s="50">
        <v>0</v>
      </c>
      <c r="AV168" s="50">
        <v>0</v>
      </c>
      <c r="AW168" s="50">
        <v>0</v>
      </c>
      <c r="AX168" s="45">
        <f>SUM(Tabla634[[#This Row],[ENERO]:[DICIEMBRE]])</f>
        <v>355200</v>
      </c>
    </row>
    <row r="169" spans="1:50" hidden="1">
      <c r="A169" s="37" t="s">
        <v>50</v>
      </c>
      <c r="B169" s="36">
        <v>33</v>
      </c>
      <c r="D169" s="76">
        <f>[1]P001!$K$5</f>
        <v>0</v>
      </c>
      <c r="E169" s="76">
        <f>[1]P001!$K$5</f>
        <v>0</v>
      </c>
      <c r="P169" s="42">
        <f>SUM(Tabla6[[#This Row],[ENERO]:[DICIEMBRE]])</f>
        <v>0</v>
      </c>
      <c r="R169" s="48" t="s">
        <v>50</v>
      </c>
      <c r="S169" s="47">
        <v>33</v>
      </c>
      <c r="T169" s="177"/>
      <c r="U169" s="53">
        <f>[3]L033!$L$5</f>
        <v>0</v>
      </c>
      <c r="V169" s="53">
        <f>[3]L033!$L$5</f>
        <v>0</v>
      </c>
      <c r="W169" s="50"/>
      <c r="X169" s="53">
        <f>[3]L033!$L$8</f>
        <v>0</v>
      </c>
      <c r="Y169" s="53">
        <f>[3]L033!$L$9</f>
        <v>0</v>
      </c>
      <c r="Z169" s="50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2">
        <f>SUM(Tabla63[[#This Row],[ENERO]:[DICIEMBRE]])</f>
        <v>0</v>
      </c>
      <c r="AI169" s="48" t="s">
        <v>50</v>
      </c>
      <c r="AJ169" s="47">
        <v>33</v>
      </c>
      <c r="AK169" s="177"/>
      <c r="AL169" s="170">
        <v>0</v>
      </c>
      <c r="AM169" s="170">
        <f>[1]L001!$B$6</f>
        <v>1023300</v>
      </c>
      <c r="AN169" s="170">
        <v>0</v>
      </c>
      <c r="AO169" s="170">
        <v>0</v>
      </c>
      <c r="AP169" s="17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45">
        <f>SUM(Tabla634[[#This Row],[ENERO]:[DICIEMBRE]])</f>
        <v>1023300</v>
      </c>
    </row>
    <row r="170" spans="1:50">
      <c r="A170" s="37" t="s">
        <v>50</v>
      </c>
      <c r="B170" s="36">
        <v>34</v>
      </c>
      <c r="C170" s="177" t="s">
        <v>185</v>
      </c>
      <c r="D170" s="76">
        <f>[1]L034!$K$5</f>
        <v>0</v>
      </c>
      <c r="E170" s="76">
        <f>[1]L034!$K$6</f>
        <v>0</v>
      </c>
      <c r="P170" s="42">
        <f>SUM(Tabla6[[#This Row],[ENERO]:[DICIEMBRE]])</f>
        <v>0</v>
      </c>
      <c r="R170" s="48" t="s">
        <v>50</v>
      </c>
      <c r="S170" s="47">
        <v>34</v>
      </c>
      <c r="T170" s="177" t="s">
        <v>185</v>
      </c>
      <c r="U170" s="53">
        <f>[3]L034!$L$5</f>
        <v>87800</v>
      </c>
      <c r="V170" s="53">
        <f>[3]L034!$L$6</f>
        <v>95400</v>
      </c>
      <c r="W170" s="50"/>
      <c r="X170" s="53">
        <v>0</v>
      </c>
      <c r="Y170" s="53">
        <v>0</v>
      </c>
      <c r="Z170" s="50">
        <v>0</v>
      </c>
      <c r="AA170" s="53">
        <v>0</v>
      </c>
      <c r="AB170" s="53">
        <v>0</v>
      </c>
      <c r="AC170" s="53">
        <v>0</v>
      </c>
      <c r="AD170" s="53">
        <v>0</v>
      </c>
      <c r="AE170" s="53">
        <v>0</v>
      </c>
      <c r="AF170" s="53">
        <v>0</v>
      </c>
      <c r="AG170" s="52">
        <f>SUM(Tabla63[[#This Row],[ENERO]:[DICIEMBRE]])</f>
        <v>183200</v>
      </c>
      <c r="AI170" s="48" t="s">
        <v>50</v>
      </c>
      <c r="AJ170" s="47">
        <v>34</v>
      </c>
      <c r="AK170" s="177" t="s">
        <v>185</v>
      </c>
      <c r="AL170" s="170">
        <f>[2]L034!$B$5</f>
        <v>335900</v>
      </c>
      <c r="AM170" s="170">
        <f>[1]L034!$B$6</f>
        <v>335900</v>
      </c>
      <c r="AN170" s="170">
        <v>0</v>
      </c>
      <c r="AO170" s="170">
        <v>0</v>
      </c>
      <c r="AP170" s="170">
        <v>0</v>
      </c>
      <c r="AQ170" s="50">
        <v>0</v>
      </c>
      <c r="AR170" s="50">
        <v>0</v>
      </c>
      <c r="AS170" s="50">
        <v>0</v>
      </c>
      <c r="AT170" s="50">
        <v>0</v>
      </c>
      <c r="AU170" s="50">
        <v>0</v>
      </c>
      <c r="AV170" s="50">
        <v>0</v>
      </c>
      <c r="AW170" s="50">
        <v>0</v>
      </c>
      <c r="AX170" s="45">
        <f>SUM(Tabla634[[#This Row],[ENERO]:[DICIEMBRE]])</f>
        <v>671800</v>
      </c>
    </row>
    <row r="171" spans="1:50" hidden="1">
      <c r="A171" s="37" t="s">
        <v>50</v>
      </c>
      <c r="B171" s="36">
        <v>35</v>
      </c>
      <c r="D171" s="76">
        <f>[1]P001!$K$5</f>
        <v>0</v>
      </c>
      <c r="E171" s="76">
        <f>[1]P001!$K$5</f>
        <v>0</v>
      </c>
      <c r="P171" s="42">
        <f>SUM(Tabla6[[#This Row],[ENERO]:[DICIEMBRE]])</f>
        <v>0</v>
      </c>
      <c r="R171" s="48" t="s">
        <v>50</v>
      </c>
      <c r="S171" s="47">
        <v>35</v>
      </c>
      <c r="T171" s="177"/>
      <c r="U171" s="53">
        <f>[3]L035!$L$5</f>
        <v>0</v>
      </c>
      <c r="V171" s="53">
        <f>[3]L035!$L$5</f>
        <v>0</v>
      </c>
      <c r="W171" s="50"/>
      <c r="X171" s="53">
        <f>[3]L035!$L$8</f>
        <v>0</v>
      </c>
      <c r="Y171" s="53">
        <f>[3]L035!$L$9</f>
        <v>0</v>
      </c>
      <c r="Z171" s="50">
        <v>0</v>
      </c>
      <c r="AA171" s="53">
        <v>0</v>
      </c>
      <c r="AB171" s="53">
        <v>0</v>
      </c>
      <c r="AC171" s="53">
        <v>0</v>
      </c>
      <c r="AD171" s="53">
        <v>0</v>
      </c>
      <c r="AE171" s="53">
        <v>0</v>
      </c>
      <c r="AF171" s="53">
        <v>0</v>
      </c>
      <c r="AG171" s="52">
        <f>SUM(Tabla63[[#This Row],[ENERO]:[DICIEMBRE]])</f>
        <v>0</v>
      </c>
      <c r="AI171" s="48" t="s">
        <v>50</v>
      </c>
      <c r="AJ171" s="47">
        <v>35</v>
      </c>
      <c r="AK171" s="177"/>
      <c r="AL171" s="170">
        <v>0</v>
      </c>
      <c r="AM171" s="170">
        <f>[1]L001!$B$6</f>
        <v>1023300</v>
      </c>
      <c r="AN171" s="170">
        <v>0</v>
      </c>
      <c r="AO171" s="170">
        <v>0</v>
      </c>
      <c r="AP171" s="170">
        <v>0</v>
      </c>
      <c r="AQ171" s="50">
        <v>0</v>
      </c>
      <c r="AR171" s="50">
        <v>0</v>
      </c>
      <c r="AS171" s="50">
        <v>0</v>
      </c>
      <c r="AT171" s="50">
        <v>0</v>
      </c>
      <c r="AU171" s="50">
        <v>0</v>
      </c>
      <c r="AV171" s="50">
        <v>0</v>
      </c>
      <c r="AW171" s="50">
        <v>0</v>
      </c>
      <c r="AX171" s="45">
        <f>SUM(Tabla634[[#This Row],[ENERO]:[DICIEMBRE]])</f>
        <v>1023300</v>
      </c>
    </row>
    <row r="172" spans="1:50" hidden="1">
      <c r="A172" s="37" t="s">
        <v>49</v>
      </c>
      <c r="B172" s="36">
        <v>1</v>
      </c>
      <c r="D172" s="76">
        <f>[1]P001!$K$5</f>
        <v>0</v>
      </c>
      <c r="E172" s="76">
        <f>[1]P001!$K$5</f>
        <v>0</v>
      </c>
      <c r="P172" s="42">
        <f>SUM(Tabla6[[#This Row],[ENERO]:[DICIEMBRE]])</f>
        <v>0</v>
      </c>
      <c r="R172" s="48" t="s">
        <v>49</v>
      </c>
      <c r="S172" s="47">
        <v>1</v>
      </c>
      <c r="T172" s="177"/>
      <c r="U172" s="53">
        <f>[3]I002!L$5</f>
        <v>0</v>
      </c>
      <c r="V172" s="53">
        <f>[3]I002!M$5</f>
        <v>0</v>
      </c>
      <c r="W172" s="50"/>
      <c r="X172" s="53">
        <f>[3]I002!$L$8</f>
        <v>0</v>
      </c>
      <c r="Y172" s="53">
        <f>[3]I002!$L$9</f>
        <v>0</v>
      </c>
      <c r="Z172" s="50">
        <v>0</v>
      </c>
      <c r="AA172" s="53">
        <v>0</v>
      </c>
      <c r="AB172" s="53">
        <v>0</v>
      </c>
      <c r="AC172" s="53">
        <v>0</v>
      </c>
      <c r="AD172" s="53">
        <v>0</v>
      </c>
      <c r="AE172" s="53">
        <v>0</v>
      </c>
      <c r="AF172" s="53">
        <v>0</v>
      </c>
      <c r="AG172" s="52">
        <f>SUM(Tabla63[[#This Row],[ENERO]:[DICIEMBRE]])</f>
        <v>0</v>
      </c>
      <c r="AI172" s="48" t="s">
        <v>49</v>
      </c>
      <c r="AJ172" s="47">
        <v>1</v>
      </c>
      <c r="AK172" s="177"/>
      <c r="AL172" s="170">
        <v>0</v>
      </c>
      <c r="AM172" s="170">
        <f>[1]L001!$B$6</f>
        <v>1023300</v>
      </c>
      <c r="AN172" s="170">
        <v>0</v>
      </c>
      <c r="AO172" s="170">
        <v>0</v>
      </c>
      <c r="AP172" s="17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45">
        <f>SUM(Tabla634[[#This Row],[ENERO]:[DICIEMBRE]])</f>
        <v>1023300</v>
      </c>
    </row>
    <row r="173" spans="1:50">
      <c r="A173" s="37" t="s">
        <v>49</v>
      </c>
      <c r="B173" s="36">
        <v>2</v>
      </c>
      <c r="C173" s="177" t="s">
        <v>186</v>
      </c>
      <c r="D173" s="76">
        <f>[1]I001!$K$5</f>
        <v>0</v>
      </c>
      <c r="E173" s="76">
        <f>[1]I001!$K$6</f>
        <v>352300</v>
      </c>
      <c r="P173" s="42">
        <f>SUM(Tabla6[[#This Row],[ENERO]:[DICIEMBRE]])</f>
        <v>352300</v>
      </c>
      <c r="R173" s="48" t="s">
        <v>49</v>
      </c>
      <c r="S173" s="47">
        <v>2</v>
      </c>
      <c r="T173" s="177" t="s">
        <v>186</v>
      </c>
      <c r="U173" s="53">
        <f>[2]I001!$L$5</f>
        <v>0</v>
      </c>
      <c r="V173" s="53">
        <f>[2]I001!$L$6</f>
        <v>0</v>
      </c>
      <c r="W173" s="50"/>
      <c r="X173" s="53">
        <v>0</v>
      </c>
      <c r="Y173" s="53">
        <v>0</v>
      </c>
      <c r="Z173" s="50">
        <v>0</v>
      </c>
      <c r="AA173" s="53">
        <v>0</v>
      </c>
      <c r="AB173" s="53">
        <v>0</v>
      </c>
      <c r="AC173" s="53">
        <v>0</v>
      </c>
      <c r="AD173" s="53">
        <v>0</v>
      </c>
      <c r="AE173" s="53">
        <v>0</v>
      </c>
      <c r="AF173" s="53">
        <v>0</v>
      </c>
      <c r="AG173" s="52">
        <f>SUM(Tabla63[[#This Row],[ENERO]:[DICIEMBRE]])</f>
        <v>0</v>
      </c>
      <c r="AI173" s="48" t="s">
        <v>49</v>
      </c>
      <c r="AJ173" s="47">
        <v>2</v>
      </c>
      <c r="AK173" s="177" t="s">
        <v>186</v>
      </c>
      <c r="AL173" s="170">
        <f>[2]I001!$B$5</f>
        <v>353400</v>
      </c>
      <c r="AM173" s="170">
        <f>[1]I001!$B$6</f>
        <v>353400</v>
      </c>
      <c r="AN173" s="170">
        <v>0</v>
      </c>
      <c r="AO173" s="170">
        <v>0</v>
      </c>
      <c r="AP173" s="170">
        <v>0</v>
      </c>
      <c r="AQ173" s="50">
        <v>0</v>
      </c>
      <c r="AR173" s="50">
        <v>0</v>
      </c>
      <c r="AS173" s="50">
        <v>0</v>
      </c>
      <c r="AT173" s="50">
        <v>0</v>
      </c>
      <c r="AU173" s="50">
        <v>0</v>
      </c>
      <c r="AV173" s="50">
        <v>0</v>
      </c>
      <c r="AW173" s="50">
        <v>0</v>
      </c>
      <c r="AX173" s="45">
        <f>SUM(Tabla634[[#This Row],[ENERO]:[DICIEMBRE]])</f>
        <v>706800</v>
      </c>
    </row>
    <row r="174" spans="1:50" hidden="1">
      <c r="A174" s="37" t="s">
        <v>49</v>
      </c>
      <c r="B174" s="36">
        <v>3</v>
      </c>
      <c r="D174" s="76">
        <f>[1]P001!$K$5</f>
        <v>0</v>
      </c>
      <c r="E174" s="76">
        <f>[1]P001!$K$5</f>
        <v>0</v>
      </c>
      <c r="P174" s="42">
        <f>SUM(Tabla6[[#This Row],[ENERO]:[DICIEMBRE]])</f>
        <v>0</v>
      </c>
      <c r="R174" s="48" t="s">
        <v>49</v>
      </c>
      <c r="S174" s="47">
        <v>3</v>
      </c>
      <c r="T174" s="177"/>
      <c r="U174" s="53">
        <f>[3]I003!$L$5</f>
        <v>0</v>
      </c>
      <c r="V174" s="53">
        <f>[3]I003!$L$5</f>
        <v>0</v>
      </c>
      <c r="W174" s="50"/>
      <c r="X174" s="53">
        <f>[3]I003!$L$8</f>
        <v>0</v>
      </c>
      <c r="Y174" s="53">
        <f>[3]I003!$L$9</f>
        <v>0</v>
      </c>
      <c r="Z174" s="50">
        <v>0</v>
      </c>
      <c r="AA174" s="53">
        <v>0</v>
      </c>
      <c r="AB174" s="53">
        <v>0</v>
      </c>
      <c r="AC174" s="53">
        <v>0</v>
      </c>
      <c r="AD174" s="53">
        <v>0</v>
      </c>
      <c r="AE174" s="53">
        <v>0</v>
      </c>
      <c r="AF174" s="53">
        <v>0</v>
      </c>
      <c r="AG174" s="52">
        <f>SUM(Tabla63[[#This Row],[ENERO]:[DICIEMBRE]])</f>
        <v>0</v>
      </c>
      <c r="AI174" s="48" t="s">
        <v>49</v>
      </c>
      <c r="AJ174" s="47">
        <v>3</v>
      </c>
      <c r="AK174" s="177"/>
      <c r="AL174" s="170">
        <v>0</v>
      </c>
      <c r="AM174" s="170">
        <f>[1]I001!$B$6</f>
        <v>353400</v>
      </c>
      <c r="AN174" s="170">
        <v>0</v>
      </c>
      <c r="AO174" s="170">
        <v>0</v>
      </c>
      <c r="AP174" s="170">
        <v>0</v>
      </c>
      <c r="AQ174" s="50">
        <v>0</v>
      </c>
      <c r="AR174" s="50">
        <v>0</v>
      </c>
      <c r="AS174" s="50">
        <v>0</v>
      </c>
      <c r="AT174" s="50">
        <v>0</v>
      </c>
      <c r="AU174" s="50">
        <v>0</v>
      </c>
      <c r="AV174" s="50">
        <v>0</v>
      </c>
      <c r="AW174" s="50">
        <v>0</v>
      </c>
      <c r="AX174" s="45">
        <f>SUM(Tabla634[[#This Row],[ENERO]:[DICIEMBRE]])</f>
        <v>353400</v>
      </c>
    </row>
    <row r="175" spans="1:50" hidden="1">
      <c r="A175" s="37" t="s">
        <v>49</v>
      </c>
      <c r="B175" s="36">
        <v>4</v>
      </c>
      <c r="D175" s="76">
        <f>[1]P001!$K$5</f>
        <v>0</v>
      </c>
      <c r="E175" s="76">
        <f>[1]P001!$K$5</f>
        <v>0</v>
      </c>
      <c r="P175" s="42">
        <f>SUM(Tabla6[[#This Row],[ENERO]:[DICIEMBRE]])</f>
        <v>0</v>
      </c>
      <c r="R175" s="48" t="s">
        <v>49</v>
      </c>
      <c r="S175" s="47">
        <v>4</v>
      </c>
      <c r="T175" s="177"/>
      <c r="U175" s="53">
        <f>[3]I004!$L$5</f>
        <v>0</v>
      </c>
      <c r="V175" s="53">
        <f>[3]I004!$L$5</f>
        <v>0</v>
      </c>
      <c r="W175" s="50"/>
      <c r="X175" s="53">
        <f>[3]I004!L$8</f>
        <v>0</v>
      </c>
      <c r="Y175" s="53">
        <f>[3]I004!$L$9</f>
        <v>0</v>
      </c>
      <c r="Z175" s="50">
        <v>0</v>
      </c>
      <c r="AA175" s="53">
        <v>0</v>
      </c>
      <c r="AB175" s="53">
        <v>0</v>
      </c>
      <c r="AC175" s="53">
        <v>0</v>
      </c>
      <c r="AD175" s="53">
        <v>0</v>
      </c>
      <c r="AE175" s="53">
        <v>0</v>
      </c>
      <c r="AF175" s="53">
        <v>0</v>
      </c>
      <c r="AG175" s="52">
        <f>SUM(Tabla63[[#This Row],[ENERO]:[DICIEMBRE]])</f>
        <v>0</v>
      </c>
      <c r="AI175" s="48" t="s">
        <v>49</v>
      </c>
      <c r="AJ175" s="47">
        <v>4</v>
      </c>
      <c r="AK175" s="177"/>
      <c r="AL175" s="170">
        <v>0</v>
      </c>
      <c r="AM175" s="170">
        <f>[1]I001!$B$6</f>
        <v>353400</v>
      </c>
      <c r="AN175" s="170">
        <v>0</v>
      </c>
      <c r="AO175" s="170">
        <v>0</v>
      </c>
      <c r="AP175" s="170">
        <v>0</v>
      </c>
      <c r="AQ175" s="50">
        <v>0</v>
      </c>
      <c r="AR175" s="50">
        <v>0</v>
      </c>
      <c r="AS175" s="50">
        <v>0</v>
      </c>
      <c r="AT175" s="50">
        <v>0</v>
      </c>
      <c r="AU175" s="50">
        <v>0</v>
      </c>
      <c r="AV175" s="50">
        <v>0</v>
      </c>
      <c r="AW175" s="50">
        <v>0</v>
      </c>
      <c r="AX175" s="45">
        <f>SUM(Tabla634[[#This Row],[ENERO]:[DICIEMBRE]])</f>
        <v>353400</v>
      </c>
    </row>
    <row r="176" spans="1:50" hidden="1">
      <c r="A176" s="37" t="s">
        <v>49</v>
      </c>
      <c r="B176" s="36">
        <v>5</v>
      </c>
      <c r="D176" s="76">
        <f>[1]P001!$K$5</f>
        <v>0</v>
      </c>
      <c r="E176" s="76">
        <f>[1]P001!$K$5</f>
        <v>0</v>
      </c>
      <c r="P176" s="42">
        <f>SUM(Tabla6[[#This Row],[ENERO]:[DICIEMBRE]])</f>
        <v>0</v>
      </c>
      <c r="R176" s="48" t="s">
        <v>49</v>
      </c>
      <c r="S176" s="47">
        <v>5</v>
      </c>
      <c r="T176" s="177"/>
      <c r="U176" s="53">
        <f>[3]I005!$L$5</f>
        <v>0</v>
      </c>
      <c r="V176" s="53">
        <f>[3]I005!$L$5</f>
        <v>0</v>
      </c>
      <c r="W176" s="50"/>
      <c r="X176" s="53">
        <f>[3]I005!$L$8</f>
        <v>0</v>
      </c>
      <c r="Y176" s="53">
        <f>[3]I005!$L$9</f>
        <v>0</v>
      </c>
      <c r="Z176" s="50">
        <v>0</v>
      </c>
      <c r="AA176" s="53">
        <v>0</v>
      </c>
      <c r="AB176" s="53">
        <v>0</v>
      </c>
      <c r="AC176" s="53">
        <v>0</v>
      </c>
      <c r="AD176" s="53">
        <v>0</v>
      </c>
      <c r="AE176" s="53">
        <v>0</v>
      </c>
      <c r="AF176" s="53">
        <v>0</v>
      </c>
      <c r="AG176" s="52">
        <f>SUM(Tabla63[[#This Row],[ENERO]:[DICIEMBRE]])</f>
        <v>0</v>
      </c>
      <c r="AI176" s="48" t="s">
        <v>49</v>
      </c>
      <c r="AJ176" s="47">
        <v>5</v>
      </c>
      <c r="AK176" s="177"/>
      <c r="AL176" s="170">
        <v>0</v>
      </c>
      <c r="AM176" s="170">
        <f>[1]I001!$B$6</f>
        <v>353400</v>
      </c>
      <c r="AN176" s="170">
        <v>0</v>
      </c>
      <c r="AO176" s="170">
        <v>0</v>
      </c>
      <c r="AP176" s="170">
        <v>0</v>
      </c>
      <c r="AQ176" s="50">
        <v>0</v>
      </c>
      <c r="AR176" s="50">
        <v>0</v>
      </c>
      <c r="AS176" s="50">
        <v>0</v>
      </c>
      <c r="AT176" s="50">
        <v>0</v>
      </c>
      <c r="AU176" s="50">
        <v>0</v>
      </c>
      <c r="AV176" s="50">
        <v>0</v>
      </c>
      <c r="AW176" s="50">
        <v>0</v>
      </c>
      <c r="AX176" s="45">
        <f>SUM(Tabla634[[#This Row],[ENERO]:[DICIEMBRE]])</f>
        <v>353400</v>
      </c>
    </row>
    <row r="177" spans="1:50" hidden="1">
      <c r="A177" s="37" t="s">
        <v>49</v>
      </c>
      <c r="B177" s="36">
        <v>6</v>
      </c>
      <c r="D177" s="76">
        <f>[1]P001!$K$5</f>
        <v>0</v>
      </c>
      <c r="E177" s="76">
        <f>[1]P001!$K$5</f>
        <v>0</v>
      </c>
      <c r="P177" s="42">
        <f>SUM(Tabla6[[#This Row],[ENERO]:[DICIEMBRE]])</f>
        <v>0</v>
      </c>
      <c r="R177" s="48" t="s">
        <v>49</v>
      </c>
      <c r="S177" s="47">
        <v>6</v>
      </c>
      <c r="T177" s="177"/>
      <c r="U177" s="53">
        <f>[3]I006!$L$5</f>
        <v>0</v>
      </c>
      <c r="V177" s="53">
        <f>[3]I006!$L$5</f>
        <v>0</v>
      </c>
      <c r="W177" s="50"/>
      <c r="X177" s="53">
        <f>[3]I006!$L$8</f>
        <v>0</v>
      </c>
      <c r="Y177" s="53">
        <f>[3]I006!$L$9</f>
        <v>0</v>
      </c>
      <c r="Z177" s="50">
        <v>0</v>
      </c>
      <c r="AA177" s="53">
        <v>0</v>
      </c>
      <c r="AB177" s="53">
        <v>0</v>
      </c>
      <c r="AC177" s="53">
        <v>0</v>
      </c>
      <c r="AD177" s="53">
        <v>0</v>
      </c>
      <c r="AE177" s="53">
        <v>0</v>
      </c>
      <c r="AF177" s="53">
        <v>0</v>
      </c>
      <c r="AG177" s="52">
        <f>SUM(Tabla63[[#This Row],[ENERO]:[DICIEMBRE]])</f>
        <v>0</v>
      </c>
      <c r="AI177" s="48" t="s">
        <v>49</v>
      </c>
      <c r="AJ177" s="47">
        <v>6</v>
      </c>
      <c r="AK177" s="177"/>
      <c r="AL177" s="170">
        <v>0</v>
      </c>
      <c r="AM177" s="170">
        <f>[1]I001!$B$6</f>
        <v>353400</v>
      </c>
      <c r="AN177" s="170">
        <v>0</v>
      </c>
      <c r="AO177" s="170">
        <v>0</v>
      </c>
      <c r="AP177" s="170">
        <v>0</v>
      </c>
      <c r="AQ177" s="50">
        <v>0</v>
      </c>
      <c r="AR177" s="50">
        <v>0</v>
      </c>
      <c r="AS177" s="50">
        <v>0</v>
      </c>
      <c r="AT177" s="50">
        <v>0</v>
      </c>
      <c r="AU177" s="50">
        <v>0</v>
      </c>
      <c r="AV177" s="50">
        <v>0</v>
      </c>
      <c r="AW177" s="50">
        <v>0</v>
      </c>
      <c r="AX177" s="45">
        <f>SUM(Tabla634[[#This Row],[ENERO]:[DICIEMBRE]])</f>
        <v>353400</v>
      </c>
    </row>
    <row r="178" spans="1:50" hidden="1">
      <c r="A178" s="37" t="s">
        <v>49</v>
      </c>
      <c r="B178" s="36">
        <v>7</v>
      </c>
      <c r="D178" s="76">
        <f>[1]P001!$K$5</f>
        <v>0</v>
      </c>
      <c r="E178" s="76">
        <f>[1]P001!$K$5</f>
        <v>0</v>
      </c>
      <c r="P178" s="42">
        <f>SUM(Tabla6[[#This Row],[ENERO]:[DICIEMBRE]])</f>
        <v>0</v>
      </c>
      <c r="R178" s="48" t="s">
        <v>49</v>
      </c>
      <c r="S178" s="47">
        <v>7</v>
      </c>
      <c r="T178" s="177"/>
      <c r="U178" s="53">
        <f>[3]I007!$L$5</f>
        <v>0</v>
      </c>
      <c r="V178" s="53">
        <f>[3]I007!$L$5</f>
        <v>0</v>
      </c>
      <c r="W178" s="50"/>
      <c r="X178" s="53">
        <f>[3]I007!$L$8</f>
        <v>0</v>
      </c>
      <c r="Y178" s="53">
        <f>[3]I007!$L$9</f>
        <v>0</v>
      </c>
      <c r="Z178" s="50">
        <v>0</v>
      </c>
      <c r="AA178" s="53">
        <v>0</v>
      </c>
      <c r="AB178" s="53">
        <v>0</v>
      </c>
      <c r="AC178" s="53">
        <v>0</v>
      </c>
      <c r="AD178" s="53">
        <v>0</v>
      </c>
      <c r="AE178" s="53">
        <v>0</v>
      </c>
      <c r="AF178" s="53">
        <v>0</v>
      </c>
      <c r="AG178" s="52">
        <f>SUM(Tabla63[[#This Row],[ENERO]:[DICIEMBRE]])</f>
        <v>0</v>
      </c>
      <c r="AI178" s="48" t="s">
        <v>49</v>
      </c>
      <c r="AJ178" s="47">
        <v>7</v>
      </c>
      <c r="AK178" s="177"/>
      <c r="AL178" s="170">
        <v>0</v>
      </c>
      <c r="AM178" s="170">
        <f>[1]I001!$B$6</f>
        <v>353400</v>
      </c>
      <c r="AN178" s="170">
        <v>0</v>
      </c>
      <c r="AO178" s="170">
        <v>0</v>
      </c>
      <c r="AP178" s="170">
        <v>0</v>
      </c>
      <c r="AQ178" s="50">
        <v>0</v>
      </c>
      <c r="AR178" s="50">
        <v>0</v>
      </c>
      <c r="AS178" s="50">
        <v>0</v>
      </c>
      <c r="AT178" s="50">
        <v>0</v>
      </c>
      <c r="AU178" s="50">
        <v>0</v>
      </c>
      <c r="AV178" s="50">
        <v>0</v>
      </c>
      <c r="AW178" s="50">
        <v>0</v>
      </c>
      <c r="AX178" s="45">
        <f>SUM(Tabla634[[#This Row],[ENERO]:[DICIEMBRE]])</f>
        <v>353400</v>
      </c>
    </row>
    <row r="179" spans="1:50" hidden="1">
      <c r="A179" s="37" t="s">
        <v>49</v>
      </c>
      <c r="B179" s="36">
        <v>8</v>
      </c>
      <c r="C179" s="177" t="s">
        <v>187</v>
      </c>
      <c r="D179" s="76">
        <f>[1]P001!$K$5</f>
        <v>0</v>
      </c>
      <c r="E179" s="76">
        <f>[1]P001!$K$5</f>
        <v>0</v>
      </c>
      <c r="P179" s="42">
        <f>SUM(Tabla6[[#This Row],[ENERO]:[DICIEMBRE]])</f>
        <v>0</v>
      </c>
      <c r="R179" s="48" t="s">
        <v>49</v>
      </c>
      <c r="S179" s="47">
        <v>8</v>
      </c>
      <c r="T179" s="177" t="s">
        <v>187</v>
      </c>
      <c r="U179" s="53">
        <f>[3]I008!$L$5</f>
        <v>46800</v>
      </c>
      <c r="V179" s="53">
        <f>[3]I008!$L$5</f>
        <v>46800</v>
      </c>
      <c r="W179" s="50"/>
      <c r="X179" s="53">
        <f>[3]I008!$L$8</f>
        <v>46800</v>
      </c>
      <c r="Y179" s="53">
        <f>[3]I008!$L$9</f>
        <v>46800</v>
      </c>
      <c r="Z179" s="50">
        <v>0</v>
      </c>
      <c r="AA179" s="53">
        <v>0</v>
      </c>
      <c r="AB179" s="53">
        <v>0</v>
      </c>
      <c r="AC179" s="53">
        <v>0</v>
      </c>
      <c r="AD179" s="53">
        <v>0</v>
      </c>
      <c r="AE179" s="53">
        <v>0</v>
      </c>
      <c r="AF179" s="53">
        <v>0</v>
      </c>
      <c r="AG179" s="52">
        <f>SUM(Tabla63[[#This Row],[ENERO]:[DICIEMBRE]])</f>
        <v>187200</v>
      </c>
      <c r="AI179" s="48" t="s">
        <v>49</v>
      </c>
      <c r="AJ179" s="47">
        <v>8</v>
      </c>
      <c r="AK179" s="177" t="s">
        <v>187</v>
      </c>
      <c r="AL179" s="170">
        <v>0</v>
      </c>
      <c r="AM179" s="170">
        <f>[1]I001!$B$6</f>
        <v>353400</v>
      </c>
      <c r="AN179" s="170">
        <v>0</v>
      </c>
      <c r="AO179" s="170">
        <v>0</v>
      </c>
      <c r="AP179" s="170">
        <v>0</v>
      </c>
      <c r="AQ179" s="50">
        <v>0</v>
      </c>
      <c r="AR179" s="50">
        <v>0</v>
      </c>
      <c r="AS179" s="50">
        <v>0</v>
      </c>
      <c r="AT179" s="50">
        <v>0</v>
      </c>
      <c r="AU179" s="50">
        <v>0</v>
      </c>
      <c r="AV179" s="50">
        <v>0</v>
      </c>
      <c r="AW179" s="50">
        <v>0</v>
      </c>
      <c r="AX179" s="45">
        <f>SUM(Tabla634[[#This Row],[ENERO]:[DICIEMBRE]])</f>
        <v>353400</v>
      </c>
    </row>
    <row r="180" spans="1:50" hidden="1">
      <c r="A180" s="37" t="s">
        <v>49</v>
      </c>
      <c r="B180" s="36">
        <v>9</v>
      </c>
      <c r="D180" s="76">
        <f>[1]P001!$K$5</f>
        <v>0</v>
      </c>
      <c r="E180" s="76">
        <f>[1]P001!$K$5</f>
        <v>0</v>
      </c>
      <c r="P180" s="42">
        <f>SUM(Tabla6[[#This Row],[ENERO]:[DICIEMBRE]])</f>
        <v>0</v>
      </c>
      <c r="R180" s="48" t="s">
        <v>49</v>
      </c>
      <c r="S180" s="47">
        <v>9</v>
      </c>
      <c r="T180" s="177"/>
      <c r="U180" s="53">
        <f>[3]I009!$L$5</f>
        <v>0</v>
      </c>
      <c r="V180" s="53">
        <f>[3]I009!$L$5</f>
        <v>0</v>
      </c>
      <c r="W180" s="50"/>
      <c r="X180" s="53">
        <f>[3]I009!$L$8</f>
        <v>0</v>
      </c>
      <c r="Y180" s="53">
        <f>[3]I009!$L$9</f>
        <v>0</v>
      </c>
      <c r="Z180" s="50">
        <v>0</v>
      </c>
      <c r="AA180" s="53">
        <v>0</v>
      </c>
      <c r="AB180" s="53">
        <v>0</v>
      </c>
      <c r="AC180" s="53">
        <v>0</v>
      </c>
      <c r="AD180" s="53">
        <v>0</v>
      </c>
      <c r="AE180" s="53">
        <v>0</v>
      </c>
      <c r="AF180" s="53">
        <v>0</v>
      </c>
      <c r="AG180" s="52">
        <f>SUM(Tabla63[[#This Row],[ENERO]:[DICIEMBRE]])</f>
        <v>0</v>
      </c>
      <c r="AI180" s="48" t="s">
        <v>49</v>
      </c>
      <c r="AJ180" s="47">
        <v>9</v>
      </c>
      <c r="AK180" s="177"/>
      <c r="AL180" s="170">
        <v>0</v>
      </c>
      <c r="AM180" s="170">
        <f>[1]I001!$B$6</f>
        <v>353400</v>
      </c>
      <c r="AN180" s="170">
        <v>0</v>
      </c>
      <c r="AO180" s="170">
        <v>0</v>
      </c>
      <c r="AP180" s="170">
        <v>0</v>
      </c>
      <c r="AQ180" s="50">
        <v>0</v>
      </c>
      <c r="AR180" s="50">
        <v>0</v>
      </c>
      <c r="AS180" s="50">
        <v>0</v>
      </c>
      <c r="AT180" s="50">
        <v>0</v>
      </c>
      <c r="AU180" s="50">
        <v>0</v>
      </c>
      <c r="AV180" s="50">
        <v>0</v>
      </c>
      <c r="AW180" s="50">
        <v>0</v>
      </c>
      <c r="AX180" s="45">
        <f>SUM(Tabla634[[#This Row],[ENERO]:[DICIEMBRE]])</f>
        <v>353400</v>
      </c>
    </row>
    <row r="181" spans="1:50" hidden="1">
      <c r="A181" s="37" t="s">
        <v>49</v>
      </c>
      <c r="B181" s="36">
        <v>10</v>
      </c>
      <c r="D181" s="76">
        <f>[1]P001!$K$5</f>
        <v>0</v>
      </c>
      <c r="E181" s="76">
        <f>[1]P001!$K$5</f>
        <v>0</v>
      </c>
      <c r="P181" s="42">
        <f>SUM(Tabla6[[#This Row],[ENERO]:[DICIEMBRE]])</f>
        <v>0</v>
      </c>
      <c r="R181" s="48" t="s">
        <v>49</v>
      </c>
      <c r="S181" s="47">
        <v>10</v>
      </c>
      <c r="T181" s="177"/>
      <c r="U181" s="53">
        <f>[3]I010!$L$5</f>
        <v>0</v>
      </c>
      <c r="V181" s="53">
        <f>[3]I010!$L$5</f>
        <v>0</v>
      </c>
      <c r="W181" s="50"/>
      <c r="X181" s="53">
        <f>[3]I010!$L$8</f>
        <v>0</v>
      </c>
      <c r="Y181" s="53">
        <f>[3]I010!$L$9</f>
        <v>0</v>
      </c>
      <c r="Z181" s="50">
        <v>0</v>
      </c>
      <c r="AA181" s="53">
        <v>0</v>
      </c>
      <c r="AB181" s="53">
        <v>0</v>
      </c>
      <c r="AC181" s="53">
        <v>0</v>
      </c>
      <c r="AD181" s="53">
        <v>0</v>
      </c>
      <c r="AE181" s="53">
        <v>0</v>
      </c>
      <c r="AF181" s="53">
        <v>0</v>
      </c>
      <c r="AG181" s="52">
        <f>SUM(Tabla63[[#This Row],[ENERO]:[DICIEMBRE]])</f>
        <v>0</v>
      </c>
      <c r="AI181" s="48" t="s">
        <v>49</v>
      </c>
      <c r="AJ181" s="47">
        <v>10</v>
      </c>
      <c r="AK181" s="177"/>
      <c r="AL181" s="170">
        <v>0</v>
      </c>
      <c r="AM181" s="170">
        <f>[1]I001!$B$6</f>
        <v>353400</v>
      </c>
      <c r="AN181" s="170">
        <v>0</v>
      </c>
      <c r="AO181" s="170">
        <v>0</v>
      </c>
      <c r="AP181" s="17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45">
        <f>SUM(Tabla634[[#This Row],[ENERO]:[DICIEMBRE]])</f>
        <v>353400</v>
      </c>
    </row>
    <row r="182" spans="1:50" hidden="1">
      <c r="A182" s="37" t="s">
        <v>49</v>
      </c>
      <c r="B182" s="36">
        <v>11</v>
      </c>
      <c r="D182" s="76">
        <f>[1]P001!$K$5</f>
        <v>0</v>
      </c>
      <c r="E182" s="76">
        <f>[1]P001!$K$5</f>
        <v>0</v>
      </c>
      <c r="P182" s="42">
        <f>SUM(Tabla6[[#This Row],[ENERO]:[DICIEMBRE]])</f>
        <v>0</v>
      </c>
      <c r="R182" s="48" t="s">
        <v>49</v>
      </c>
      <c r="S182" s="47">
        <v>11</v>
      </c>
      <c r="T182" s="177"/>
      <c r="U182" s="53">
        <f>[3]I011!$L$5</f>
        <v>0</v>
      </c>
      <c r="V182" s="53">
        <f>[3]I011!$L$5</f>
        <v>0</v>
      </c>
      <c r="W182" s="50"/>
      <c r="X182" s="53">
        <f>[3]I011!$L$8</f>
        <v>0</v>
      </c>
      <c r="Y182" s="53">
        <f>[3]I011!$L$9</f>
        <v>0</v>
      </c>
      <c r="Z182" s="50">
        <v>0</v>
      </c>
      <c r="AA182" s="53">
        <v>0</v>
      </c>
      <c r="AB182" s="53">
        <v>0</v>
      </c>
      <c r="AC182" s="53">
        <v>0</v>
      </c>
      <c r="AD182" s="53">
        <v>0</v>
      </c>
      <c r="AE182" s="53">
        <v>0</v>
      </c>
      <c r="AF182" s="53">
        <v>0</v>
      </c>
      <c r="AG182" s="52">
        <f>SUM(Tabla63[[#This Row],[ENERO]:[DICIEMBRE]])</f>
        <v>0</v>
      </c>
      <c r="AI182" s="48" t="s">
        <v>49</v>
      </c>
      <c r="AJ182" s="47">
        <v>11</v>
      </c>
      <c r="AK182" s="177"/>
      <c r="AL182" s="170">
        <v>0</v>
      </c>
      <c r="AM182" s="170">
        <f>[1]I001!$B$6</f>
        <v>353400</v>
      </c>
      <c r="AN182" s="170">
        <v>0</v>
      </c>
      <c r="AO182" s="170">
        <v>0</v>
      </c>
      <c r="AP182" s="170">
        <v>0</v>
      </c>
      <c r="AQ182" s="50">
        <v>0</v>
      </c>
      <c r="AR182" s="50">
        <v>0</v>
      </c>
      <c r="AS182" s="50">
        <v>0</v>
      </c>
      <c r="AT182" s="50">
        <v>0</v>
      </c>
      <c r="AU182" s="50">
        <v>0</v>
      </c>
      <c r="AV182" s="50">
        <v>0</v>
      </c>
      <c r="AW182" s="50">
        <v>0</v>
      </c>
      <c r="AX182" s="45">
        <f>SUM(Tabla634[[#This Row],[ENERO]:[DICIEMBRE]])</f>
        <v>353400</v>
      </c>
    </row>
    <row r="183" spans="1:50">
      <c r="A183" s="37" t="s">
        <v>49</v>
      </c>
      <c r="B183" s="36">
        <v>12</v>
      </c>
      <c r="C183" s="407" t="s">
        <v>235</v>
      </c>
      <c r="D183" s="76">
        <f>[1]I012!$K$5</f>
        <v>353400</v>
      </c>
      <c r="E183" s="76">
        <f>[1]I012!$K$6</f>
        <v>353400</v>
      </c>
      <c r="P183" s="42">
        <f>SUM(Tabla6[[#This Row],[ENERO]:[DICIEMBRE]])</f>
        <v>706800</v>
      </c>
      <c r="R183" s="48" t="s">
        <v>49</v>
      </c>
      <c r="S183" s="47">
        <v>12</v>
      </c>
      <c r="T183" s="408" t="s">
        <v>235</v>
      </c>
      <c r="U183" s="53">
        <f>[2]I012!$L$5</f>
        <v>0</v>
      </c>
      <c r="V183" s="53">
        <f>[2]I012!$L$6</f>
        <v>0</v>
      </c>
      <c r="W183" s="50"/>
      <c r="X183" s="53">
        <v>0</v>
      </c>
      <c r="Y183" s="53">
        <v>0</v>
      </c>
      <c r="Z183" s="50">
        <v>0</v>
      </c>
      <c r="AA183" s="53">
        <v>0</v>
      </c>
      <c r="AB183" s="53">
        <v>0</v>
      </c>
      <c r="AC183" s="53">
        <v>0</v>
      </c>
      <c r="AD183" s="53">
        <v>0</v>
      </c>
      <c r="AE183" s="53">
        <v>0</v>
      </c>
      <c r="AF183" s="53">
        <v>0</v>
      </c>
      <c r="AG183" s="52">
        <f>SUM(Tabla63[[#This Row],[ENERO]:[DICIEMBRE]])</f>
        <v>0</v>
      </c>
      <c r="AI183" s="48" t="s">
        <v>49</v>
      </c>
      <c r="AJ183" s="47">
        <v>12</v>
      </c>
      <c r="AK183" s="389" t="s">
        <v>221</v>
      </c>
      <c r="AL183" s="170">
        <f>[2]I012!$B$5</f>
        <v>353400</v>
      </c>
      <c r="AM183" s="170">
        <f>[1]I012!$B$6</f>
        <v>353400</v>
      </c>
      <c r="AN183" s="170">
        <v>0</v>
      </c>
      <c r="AO183" s="170">
        <v>0</v>
      </c>
      <c r="AP183" s="170">
        <v>0</v>
      </c>
      <c r="AQ183" s="50">
        <v>0</v>
      </c>
      <c r="AR183" s="50">
        <v>0</v>
      </c>
      <c r="AS183" s="50">
        <v>0</v>
      </c>
      <c r="AT183" s="50">
        <v>0</v>
      </c>
      <c r="AU183" s="50">
        <v>0</v>
      </c>
      <c r="AV183" s="50">
        <v>0</v>
      </c>
      <c r="AW183" s="50">
        <v>0</v>
      </c>
      <c r="AX183" s="45">
        <f>SUM(Tabla634[[#This Row],[ENERO]:[DICIEMBRE]])</f>
        <v>706800</v>
      </c>
    </row>
    <row r="184" spans="1:50" hidden="1">
      <c r="A184" s="37" t="s">
        <v>49</v>
      </c>
      <c r="B184" s="36">
        <v>13</v>
      </c>
      <c r="D184" s="76">
        <f>[1]P001!$K$5</f>
        <v>0</v>
      </c>
      <c r="E184" s="76">
        <f>[1]P001!$K$5</f>
        <v>0</v>
      </c>
      <c r="P184" s="42">
        <f>SUM(Tabla6[[#This Row],[ENERO]:[DICIEMBRE]])</f>
        <v>0</v>
      </c>
      <c r="R184" s="48" t="s">
        <v>49</v>
      </c>
      <c r="S184" s="47">
        <v>13</v>
      </c>
      <c r="T184" s="177"/>
      <c r="U184" s="53">
        <f>[3]I013!$L$5</f>
        <v>0</v>
      </c>
      <c r="V184" s="53">
        <f>[3]I013!$L$5</f>
        <v>0</v>
      </c>
      <c r="W184" s="50"/>
      <c r="X184" s="53">
        <f>[3]I013!$L$8</f>
        <v>0</v>
      </c>
      <c r="Y184" s="53">
        <f>[3]I013!$L$9</f>
        <v>0</v>
      </c>
      <c r="Z184" s="50">
        <v>0</v>
      </c>
      <c r="AA184" s="53">
        <v>0</v>
      </c>
      <c r="AB184" s="53">
        <v>0</v>
      </c>
      <c r="AC184" s="53">
        <v>0</v>
      </c>
      <c r="AD184" s="53">
        <v>0</v>
      </c>
      <c r="AE184" s="53">
        <v>0</v>
      </c>
      <c r="AF184" s="53">
        <v>0</v>
      </c>
      <c r="AG184" s="52">
        <f>SUM(Tabla63[[#This Row],[ENERO]:[DICIEMBRE]])</f>
        <v>0</v>
      </c>
      <c r="AI184" s="48" t="s">
        <v>49</v>
      </c>
      <c r="AJ184" s="47">
        <v>13</v>
      </c>
      <c r="AK184" s="177"/>
      <c r="AL184" s="170">
        <v>0</v>
      </c>
      <c r="AM184" s="170">
        <f>[1]I001!$B$6</f>
        <v>353400</v>
      </c>
      <c r="AN184" s="170">
        <v>0</v>
      </c>
      <c r="AO184" s="170">
        <v>0</v>
      </c>
      <c r="AP184" s="170">
        <v>0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>
        <v>0</v>
      </c>
      <c r="AW184" s="50">
        <v>0</v>
      </c>
      <c r="AX184" s="45">
        <f>SUM(Tabla634[[#This Row],[ENERO]:[DICIEMBRE]])</f>
        <v>353400</v>
      </c>
    </row>
    <row r="185" spans="1:50" hidden="1">
      <c r="A185" s="37" t="s">
        <v>49</v>
      </c>
      <c r="B185" s="36">
        <v>14</v>
      </c>
      <c r="D185" s="76">
        <f>[1]P001!$K$5</f>
        <v>0</v>
      </c>
      <c r="E185" s="76">
        <f>[1]P001!$K$5</f>
        <v>0</v>
      </c>
      <c r="P185" s="42">
        <f>SUM(Tabla6[[#This Row],[ENERO]:[DICIEMBRE]])</f>
        <v>0</v>
      </c>
      <c r="R185" s="48" t="s">
        <v>49</v>
      </c>
      <c r="S185" s="47">
        <v>14</v>
      </c>
      <c r="T185" s="177"/>
      <c r="U185" s="53">
        <f>[3]I014!$L$5</f>
        <v>0</v>
      </c>
      <c r="V185" s="53">
        <f>[3]I014!$L$5</f>
        <v>0</v>
      </c>
      <c r="W185" s="50"/>
      <c r="X185" s="53">
        <f>[3]I014!$L$8</f>
        <v>0</v>
      </c>
      <c r="Y185" s="53">
        <f>[3]I014!$L$9</f>
        <v>0</v>
      </c>
      <c r="Z185" s="50">
        <v>0</v>
      </c>
      <c r="AA185" s="53">
        <v>0</v>
      </c>
      <c r="AB185" s="53">
        <v>0</v>
      </c>
      <c r="AC185" s="53">
        <v>0</v>
      </c>
      <c r="AD185" s="53">
        <v>0</v>
      </c>
      <c r="AE185" s="53">
        <v>0</v>
      </c>
      <c r="AF185" s="53">
        <v>0</v>
      </c>
      <c r="AG185" s="52">
        <f>SUM(Tabla63[[#This Row],[ENERO]:[DICIEMBRE]])</f>
        <v>0</v>
      </c>
      <c r="AI185" s="48" t="s">
        <v>49</v>
      </c>
      <c r="AJ185" s="47">
        <v>14</v>
      </c>
      <c r="AK185" s="177"/>
      <c r="AL185" s="170">
        <v>0</v>
      </c>
      <c r="AM185" s="170">
        <f>[1]I001!$B$6</f>
        <v>353400</v>
      </c>
      <c r="AN185" s="170">
        <v>0</v>
      </c>
      <c r="AO185" s="170">
        <v>0</v>
      </c>
      <c r="AP185" s="170">
        <v>0</v>
      </c>
      <c r="AQ185" s="50">
        <v>0</v>
      </c>
      <c r="AR185" s="50">
        <v>0</v>
      </c>
      <c r="AS185" s="50">
        <v>0</v>
      </c>
      <c r="AT185" s="50">
        <v>0</v>
      </c>
      <c r="AU185" s="50">
        <v>0</v>
      </c>
      <c r="AV185" s="50">
        <v>0</v>
      </c>
      <c r="AW185" s="50">
        <v>0</v>
      </c>
      <c r="AX185" s="45">
        <f>SUM(Tabla634[[#This Row],[ENERO]:[DICIEMBRE]])</f>
        <v>353400</v>
      </c>
    </row>
    <row r="186" spans="1:50" hidden="1">
      <c r="A186" s="37" t="s">
        <v>49</v>
      </c>
      <c r="B186" s="36">
        <v>15</v>
      </c>
      <c r="D186" s="76">
        <f>[1]P001!$K$5</f>
        <v>0</v>
      </c>
      <c r="E186" s="76">
        <f>[1]P001!$K$5</f>
        <v>0</v>
      </c>
      <c r="P186" s="42">
        <f>SUM(Tabla6[[#This Row],[ENERO]:[DICIEMBRE]])</f>
        <v>0</v>
      </c>
      <c r="R186" s="48" t="s">
        <v>49</v>
      </c>
      <c r="S186" s="47">
        <v>15</v>
      </c>
      <c r="T186" s="177"/>
      <c r="U186" s="53">
        <f>[3]I015!$L$5</f>
        <v>0</v>
      </c>
      <c r="V186" s="53">
        <f>[3]I015!$L$5</f>
        <v>0</v>
      </c>
      <c r="W186" s="50"/>
      <c r="X186" s="53">
        <f>[3]I015!$L$8</f>
        <v>0</v>
      </c>
      <c r="Y186" s="53">
        <f>[3]I015!$L$9</f>
        <v>0</v>
      </c>
      <c r="Z186" s="50">
        <v>0</v>
      </c>
      <c r="AA186" s="53">
        <v>0</v>
      </c>
      <c r="AB186" s="53">
        <v>0</v>
      </c>
      <c r="AC186" s="53">
        <v>0</v>
      </c>
      <c r="AD186" s="53">
        <v>0</v>
      </c>
      <c r="AE186" s="53">
        <v>0</v>
      </c>
      <c r="AF186" s="53">
        <v>0</v>
      </c>
      <c r="AG186" s="52">
        <f>SUM(Tabla63[[#This Row],[ENERO]:[DICIEMBRE]])</f>
        <v>0</v>
      </c>
      <c r="AI186" s="48" t="s">
        <v>49</v>
      </c>
      <c r="AJ186" s="47">
        <v>15</v>
      </c>
      <c r="AK186" s="177"/>
      <c r="AL186" s="170">
        <v>0</v>
      </c>
      <c r="AM186" s="170">
        <f>[1]I001!$B$6</f>
        <v>353400</v>
      </c>
      <c r="AN186" s="170">
        <v>0</v>
      </c>
      <c r="AO186" s="170">
        <v>0</v>
      </c>
      <c r="AP186" s="170">
        <v>0</v>
      </c>
      <c r="AQ186" s="50">
        <v>0</v>
      </c>
      <c r="AR186" s="50">
        <v>0</v>
      </c>
      <c r="AS186" s="50">
        <v>0</v>
      </c>
      <c r="AT186" s="50">
        <v>0</v>
      </c>
      <c r="AU186" s="50">
        <v>0</v>
      </c>
      <c r="AV186" s="50">
        <v>0</v>
      </c>
      <c r="AW186" s="50">
        <v>0</v>
      </c>
      <c r="AX186" s="45">
        <f>SUM(Tabla634[[#This Row],[ENERO]:[DICIEMBRE]])</f>
        <v>353400</v>
      </c>
    </row>
    <row r="187" spans="1:50" hidden="1">
      <c r="A187" s="37" t="s">
        <v>49</v>
      </c>
      <c r="B187" s="36">
        <v>16</v>
      </c>
      <c r="D187" s="76">
        <f>[1]P001!$K$5</f>
        <v>0</v>
      </c>
      <c r="E187" s="76">
        <f>[1]P001!$K$5</f>
        <v>0</v>
      </c>
      <c r="P187" s="42">
        <f>SUM(Tabla6[[#This Row],[ENERO]:[DICIEMBRE]])</f>
        <v>0</v>
      </c>
      <c r="R187" s="48" t="s">
        <v>49</v>
      </c>
      <c r="S187" s="47">
        <v>16</v>
      </c>
      <c r="T187" s="177"/>
      <c r="U187" s="53">
        <f>[3]I016!$L$5</f>
        <v>0</v>
      </c>
      <c r="V187" s="53">
        <f>[3]I016!$L$5</f>
        <v>0</v>
      </c>
      <c r="W187" s="50"/>
      <c r="X187" s="53">
        <f>[3]I016!$L$8</f>
        <v>0</v>
      </c>
      <c r="Y187" s="53">
        <f>[3]I016!$L$9</f>
        <v>0</v>
      </c>
      <c r="Z187" s="50">
        <v>0</v>
      </c>
      <c r="AA187" s="53">
        <v>0</v>
      </c>
      <c r="AB187" s="53">
        <v>0</v>
      </c>
      <c r="AC187" s="53">
        <v>0</v>
      </c>
      <c r="AD187" s="53">
        <v>0</v>
      </c>
      <c r="AE187" s="53">
        <v>0</v>
      </c>
      <c r="AF187" s="53">
        <v>0</v>
      </c>
      <c r="AG187" s="52">
        <f>SUM(Tabla63[[#This Row],[ENERO]:[DICIEMBRE]])</f>
        <v>0</v>
      </c>
      <c r="AI187" s="48" t="s">
        <v>49</v>
      </c>
      <c r="AJ187" s="47">
        <v>16</v>
      </c>
      <c r="AK187" s="177"/>
      <c r="AL187" s="170">
        <v>0</v>
      </c>
      <c r="AM187" s="170">
        <f>[1]I001!$B$6</f>
        <v>353400</v>
      </c>
      <c r="AN187" s="170">
        <v>0</v>
      </c>
      <c r="AO187" s="170">
        <v>0</v>
      </c>
      <c r="AP187" s="170">
        <v>0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>
        <v>0</v>
      </c>
      <c r="AW187" s="50">
        <v>0</v>
      </c>
      <c r="AX187" s="45">
        <f>SUM(Tabla634[[#This Row],[ENERO]:[DICIEMBRE]])</f>
        <v>353400</v>
      </c>
    </row>
    <row r="188" spans="1:50">
      <c r="A188" s="37" t="s">
        <v>49</v>
      </c>
      <c r="B188" s="36">
        <v>17</v>
      </c>
      <c r="C188" s="177" t="s">
        <v>188</v>
      </c>
      <c r="D188" s="76">
        <f>[1]I017!$K$5</f>
        <v>1320000</v>
      </c>
      <c r="E188" s="76">
        <f>[1]I017!$K$6</f>
        <v>1320000</v>
      </c>
      <c r="P188" s="42">
        <f>SUM(Tabla6[[#This Row],[ENERO]:[DICIEMBRE]])</f>
        <v>2640000</v>
      </c>
      <c r="R188" s="48" t="s">
        <v>49</v>
      </c>
      <c r="S188" s="47">
        <v>17</v>
      </c>
      <c r="T188" s="177" t="s">
        <v>188</v>
      </c>
      <c r="U188" s="53">
        <f>[2]I017!$L$5</f>
        <v>0</v>
      </c>
      <c r="V188" s="53">
        <f>[2]I017!$L$6</f>
        <v>0</v>
      </c>
      <c r="W188" s="50"/>
      <c r="X188" s="53">
        <v>0</v>
      </c>
      <c r="Y188" s="53">
        <v>0</v>
      </c>
      <c r="Z188" s="50">
        <v>0</v>
      </c>
      <c r="AA188" s="53">
        <v>0</v>
      </c>
      <c r="AB188" s="53">
        <v>0</v>
      </c>
      <c r="AC188" s="53">
        <v>0</v>
      </c>
      <c r="AD188" s="53">
        <v>0</v>
      </c>
      <c r="AE188" s="53">
        <v>0</v>
      </c>
      <c r="AF188" s="53">
        <v>0</v>
      </c>
      <c r="AG188" s="52">
        <f>SUM(Tabla63[[#This Row],[ENERO]:[DICIEMBRE]])</f>
        <v>0</v>
      </c>
      <c r="AI188" s="48" t="s">
        <v>49</v>
      </c>
      <c r="AJ188" s="47">
        <v>17</v>
      </c>
      <c r="AK188" s="177" t="s">
        <v>188</v>
      </c>
      <c r="AL188" s="170">
        <f>[2]I017!$B$5</f>
        <v>1320000</v>
      </c>
      <c r="AM188" s="170">
        <f>[1]I017!$B$6</f>
        <v>1320000</v>
      </c>
      <c r="AN188" s="170">
        <v>0</v>
      </c>
      <c r="AO188" s="170">
        <v>0</v>
      </c>
      <c r="AP188" s="170">
        <v>0</v>
      </c>
      <c r="AQ188" s="50">
        <v>0</v>
      </c>
      <c r="AR188" s="50">
        <v>0</v>
      </c>
      <c r="AS188" s="50">
        <v>0</v>
      </c>
      <c r="AT188" s="50">
        <v>0</v>
      </c>
      <c r="AU188" s="50">
        <v>0</v>
      </c>
      <c r="AV188" s="50">
        <v>0</v>
      </c>
      <c r="AW188" s="50">
        <v>0</v>
      </c>
      <c r="AX188" s="45">
        <f>SUM(Tabla634[[#This Row],[ENERO]:[DICIEMBRE]])</f>
        <v>2640000</v>
      </c>
    </row>
    <row r="189" spans="1:50" hidden="1">
      <c r="A189" s="37" t="s">
        <v>49</v>
      </c>
      <c r="B189" s="36">
        <v>18</v>
      </c>
      <c r="D189" s="76">
        <f>[1]P001!$K$5</f>
        <v>0</v>
      </c>
      <c r="E189" s="76">
        <f>[1]P001!$K$5</f>
        <v>0</v>
      </c>
      <c r="P189" s="42">
        <f>SUM(Tabla6[[#This Row],[ENERO]:[DICIEMBRE]])</f>
        <v>0</v>
      </c>
      <c r="R189" s="48" t="s">
        <v>49</v>
      </c>
      <c r="S189" s="47">
        <v>18</v>
      </c>
      <c r="T189" s="177"/>
      <c r="U189" s="53">
        <f>[3]I018!$L$5</f>
        <v>0</v>
      </c>
      <c r="V189" s="53">
        <f>[3]I018!$L$5</f>
        <v>0</v>
      </c>
      <c r="W189" s="50"/>
      <c r="X189" s="53">
        <f>[3]I018!$L$8</f>
        <v>0</v>
      </c>
      <c r="Y189" s="53">
        <f>[3]I018!$L$9</f>
        <v>0</v>
      </c>
      <c r="Z189" s="50">
        <v>0</v>
      </c>
      <c r="AA189" s="53">
        <v>0</v>
      </c>
      <c r="AB189" s="53">
        <v>0</v>
      </c>
      <c r="AC189" s="53">
        <v>0</v>
      </c>
      <c r="AD189" s="53">
        <v>0</v>
      </c>
      <c r="AE189" s="53">
        <v>0</v>
      </c>
      <c r="AF189" s="53">
        <v>0</v>
      </c>
      <c r="AG189" s="52">
        <f>SUM(Tabla63[[#This Row],[ENERO]:[DICIEMBRE]])</f>
        <v>0</v>
      </c>
      <c r="AI189" s="48" t="s">
        <v>49</v>
      </c>
      <c r="AJ189" s="47">
        <v>18</v>
      </c>
      <c r="AK189" s="177"/>
      <c r="AL189" s="170">
        <v>0</v>
      </c>
      <c r="AM189" s="170">
        <f>[1]I001!$B$6</f>
        <v>353400</v>
      </c>
      <c r="AN189" s="170">
        <v>0</v>
      </c>
      <c r="AO189" s="170">
        <v>0</v>
      </c>
      <c r="AP189" s="170">
        <v>0</v>
      </c>
      <c r="AQ189" s="50">
        <v>0</v>
      </c>
      <c r="AR189" s="50">
        <v>0</v>
      </c>
      <c r="AS189" s="50">
        <v>0</v>
      </c>
      <c r="AT189" s="50">
        <v>0</v>
      </c>
      <c r="AU189" s="50">
        <v>0</v>
      </c>
      <c r="AV189" s="50">
        <v>0</v>
      </c>
      <c r="AW189" s="50">
        <v>0</v>
      </c>
      <c r="AX189" s="45">
        <f>SUM(Tabla634[[#This Row],[ENERO]:[DICIEMBRE]])</f>
        <v>353400</v>
      </c>
    </row>
    <row r="190" spans="1:50" hidden="1">
      <c r="A190" s="37" t="s">
        <v>49</v>
      </c>
      <c r="B190" s="36">
        <v>19</v>
      </c>
      <c r="C190" s="177" t="s">
        <v>19</v>
      </c>
      <c r="D190" s="76">
        <f>[1]P001!$K$5</f>
        <v>0</v>
      </c>
      <c r="E190" s="76">
        <f>[1]P001!$K$5</f>
        <v>0</v>
      </c>
      <c r="P190" s="42">
        <f>SUM(Tabla6[[#This Row],[ENERO]:[DICIEMBRE]])</f>
        <v>0</v>
      </c>
      <c r="R190" s="48" t="s">
        <v>49</v>
      </c>
      <c r="S190" s="47">
        <v>19</v>
      </c>
      <c r="T190" s="177" t="s">
        <v>19</v>
      </c>
      <c r="U190" s="53">
        <f>[3]I019!$L$5</f>
        <v>47600</v>
      </c>
      <c r="V190" s="53">
        <f>[3]I019!$L$5</f>
        <v>47600</v>
      </c>
      <c r="W190" s="50"/>
      <c r="X190" s="53">
        <f>[3]I019!$L$8</f>
        <v>0</v>
      </c>
      <c r="Y190" s="53">
        <f>[3]I019!$L$9</f>
        <v>0</v>
      </c>
      <c r="Z190" s="50">
        <v>0</v>
      </c>
      <c r="AA190" s="53">
        <v>0</v>
      </c>
      <c r="AB190" s="53">
        <v>0</v>
      </c>
      <c r="AC190" s="53">
        <v>0</v>
      </c>
      <c r="AD190" s="53">
        <v>0</v>
      </c>
      <c r="AE190" s="53">
        <v>0</v>
      </c>
      <c r="AF190" s="53">
        <v>0</v>
      </c>
      <c r="AG190" s="52">
        <f>SUM(Tabla63[[#This Row],[ENERO]:[DICIEMBRE]])</f>
        <v>95200</v>
      </c>
      <c r="AI190" s="48" t="s">
        <v>49</v>
      </c>
      <c r="AJ190" s="47">
        <v>19</v>
      </c>
      <c r="AK190" s="177" t="s">
        <v>19</v>
      </c>
      <c r="AL190" s="170">
        <v>0</v>
      </c>
      <c r="AM190" s="170">
        <f>[1]I001!$B$6</f>
        <v>353400</v>
      </c>
      <c r="AN190" s="170">
        <v>0</v>
      </c>
      <c r="AO190" s="170">
        <v>0</v>
      </c>
      <c r="AP190" s="170">
        <v>0</v>
      </c>
      <c r="AQ190" s="50">
        <v>0</v>
      </c>
      <c r="AR190" s="50">
        <v>0</v>
      </c>
      <c r="AS190" s="50">
        <v>0</v>
      </c>
      <c r="AT190" s="50">
        <v>0</v>
      </c>
      <c r="AU190" s="50">
        <v>0</v>
      </c>
      <c r="AV190" s="50">
        <v>0</v>
      </c>
      <c r="AW190" s="50">
        <v>0</v>
      </c>
      <c r="AX190" s="45">
        <f>SUM(Tabla634[[#This Row],[ENERO]:[DICIEMBRE]])</f>
        <v>353400</v>
      </c>
    </row>
    <row r="191" spans="1:50" hidden="1">
      <c r="A191" s="37" t="s">
        <v>49</v>
      </c>
      <c r="B191" s="36">
        <v>20</v>
      </c>
      <c r="D191" s="76">
        <f>[1]P001!$K$5</f>
        <v>0</v>
      </c>
      <c r="E191" s="76">
        <f>[1]P001!$K$5</f>
        <v>0</v>
      </c>
      <c r="P191" s="42">
        <f>SUM(Tabla6[[#This Row],[ENERO]:[DICIEMBRE]])</f>
        <v>0</v>
      </c>
      <c r="R191" s="48" t="s">
        <v>49</v>
      </c>
      <c r="S191" s="47">
        <v>20</v>
      </c>
      <c r="T191" s="177"/>
      <c r="U191" s="53">
        <f>[3]I020!$L$5</f>
        <v>0</v>
      </c>
      <c r="V191" s="53">
        <f>[3]I020!$L$5</f>
        <v>0</v>
      </c>
      <c r="W191" s="50"/>
      <c r="X191" s="53">
        <f>[3]I020!$L$8</f>
        <v>0</v>
      </c>
      <c r="Y191" s="53">
        <f>[3]I020!$L$9</f>
        <v>0</v>
      </c>
      <c r="Z191" s="50">
        <v>0</v>
      </c>
      <c r="AA191" s="53">
        <v>0</v>
      </c>
      <c r="AB191" s="53">
        <v>0</v>
      </c>
      <c r="AC191" s="53">
        <v>0</v>
      </c>
      <c r="AD191" s="53">
        <v>0</v>
      </c>
      <c r="AE191" s="53">
        <v>0</v>
      </c>
      <c r="AF191" s="53">
        <v>0</v>
      </c>
      <c r="AG191" s="52">
        <f>SUM(Tabla63[[#This Row],[ENERO]:[DICIEMBRE]])</f>
        <v>0</v>
      </c>
      <c r="AI191" s="48" t="s">
        <v>49</v>
      </c>
      <c r="AJ191" s="47">
        <v>20</v>
      </c>
      <c r="AK191" s="177"/>
      <c r="AL191" s="170">
        <v>0</v>
      </c>
      <c r="AM191" s="170">
        <f>[1]I001!$B$6</f>
        <v>353400</v>
      </c>
      <c r="AN191" s="170">
        <v>0</v>
      </c>
      <c r="AO191" s="170">
        <v>0</v>
      </c>
      <c r="AP191" s="170">
        <v>0</v>
      </c>
      <c r="AQ191" s="50">
        <v>0</v>
      </c>
      <c r="AR191" s="50">
        <v>0</v>
      </c>
      <c r="AS191" s="50">
        <v>0</v>
      </c>
      <c r="AT191" s="50">
        <v>0</v>
      </c>
      <c r="AU191" s="50">
        <v>0</v>
      </c>
      <c r="AV191" s="50">
        <v>0</v>
      </c>
      <c r="AW191" s="50">
        <v>0</v>
      </c>
      <c r="AX191" s="45">
        <f>SUM(Tabla634[[#This Row],[ENERO]:[DICIEMBRE]])</f>
        <v>353400</v>
      </c>
    </row>
    <row r="192" spans="1:50" hidden="1">
      <c r="A192" s="37" t="s">
        <v>49</v>
      </c>
      <c r="B192" s="36">
        <v>21</v>
      </c>
      <c r="D192" s="76">
        <f>[1]P001!$K$5</f>
        <v>0</v>
      </c>
      <c r="E192" s="76">
        <f>[1]P001!$K$5</f>
        <v>0</v>
      </c>
      <c r="P192" s="42">
        <f>SUM(Tabla6[[#This Row],[ENERO]:[DICIEMBRE]])</f>
        <v>0</v>
      </c>
      <c r="R192" s="48" t="s">
        <v>49</v>
      </c>
      <c r="S192" s="47">
        <v>21</v>
      </c>
      <c r="T192" s="177"/>
      <c r="U192" s="53">
        <f>[3]I021!$L$5</f>
        <v>0</v>
      </c>
      <c r="V192" s="53">
        <f>[3]I021!$L$5</f>
        <v>0</v>
      </c>
      <c r="W192" s="50"/>
      <c r="X192" s="53">
        <f>[3]I021!$L$8</f>
        <v>0</v>
      </c>
      <c r="Y192" s="53">
        <f>[3]I021!$L$9</f>
        <v>0</v>
      </c>
      <c r="Z192" s="50">
        <v>0</v>
      </c>
      <c r="AA192" s="53">
        <v>0</v>
      </c>
      <c r="AB192" s="53">
        <v>0</v>
      </c>
      <c r="AC192" s="53">
        <v>0</v>
      </c>
      <c r="AD192" s="53">
        <v>0</v>
      </c>
      <c r="AE192" s="53">
        <v>0</v>
      </c>
      <c r="AF192" s="53">
        <v>0</v>
      </c>
      <c r="AG192" s="52">
        <f>SUM(Tabla63[[#This Row],[ENERO]:[DICIEMBRE]])</f>
        <v>0</v>
      </c>
      <c r="AI192" s="48" t="s">
        <v>49</v>
      </c>
      <c r="AJ192" s="47">
        <v>21</v>
      </c>
      <c r="AK192" s="177"/>
      <c r="AL192" s="170">
        <v>0</v>
      </c>
      <c r="AM192" s="170">
        <f>[1]I001!$B$6</f>
        <v>353400</v>
      </c>
      <c r="AN192" s="170">
        <v>0</v>
      </c>
      <c r="AO192" s="170">
        <v>0</v>
      </c>
      <c r="AP192" s="170">
        <v>0</v>
      </c>
      <c r="AQ192" s="50">
        <v>0</v>
      </c>
      <c r="AR192" s="50">
        <v>0</v>
      </c>
      <c r="AS192" s="50">
        <v>0</v>
      </c>
      <c r="AT192" s="50">
        <v>0</v>
      </c>
      <c r="AU192" s="50">
        <v>0</v>
      </c>
      <c r="AV192" s="50">
        <v>0</v>
      </c>
      <c r="AW192" s="50">
        <v>0</v>
      </c>
      <c r="AX192" s="45">
        <f>SUM(Tabla634[[#This Row],[ENERO]:[DICIEMBRE]])</f>
        <v>353400</v>
      </c>
    </row>
    <row r="193" spans="1:50" hidden="1">
      <c r="A193" s="37" t="s">
        <v>49</v>
      </c>
      <c r="B193" s="36">
        <v>22</v>
      </c>
      <c r="D193" s="76">
        <f>[1]P001!$K$5</f>
        <v>0</v>
      </c>
      <c r="E193" s="76">
        <f>[1]P001!$K$5</f>
        <v>0</v>
      </c>
      <c r="P193" s="42">
        <f>SUM(Tabla6[[#This Row],[ENERO]:[DICIEMBRE]])</f>
        <v>0</v>
      </c>
      <c r="R193" s="48" t="s">
        <v>49</v>
      </c>
      <c r="S193" s="47">
        <v>22</v>
      </c>
      <c r="T193" s="177"/>
      <c r="U193" s="53">
        <f>[3]I022!$L$5</f>
        <v>0</v>
      </c>
      <c r="V193" s="53">
        <f>[3]I022!$L$5</f>
        <v>0</v>
      </c>
      <c r="W193" s="50"/>
      <c r="X193" s="53">
        <f>[3]I022!$L$8</f>
        <v>0</v>
      </c>
      <c r="Y193" s="53">
        <f>[3]I022!$L$9</f>
        <v>0</v>
      </c>
      <c r="Z193" s="50">
        <v>0</v>
      </c>
      <c r="AA193" s="53">
        <v>0</v>
      </c>
      <c r="AB193" s="53">
        <v>0</v>
      </c>
      <c r="AC193" s="53">
        <v>0</v>
      </c>
      <c r="AD193" s="53">
        <v>0</v>
      </c>
      <c r="AE193" s="53">
        <v>0</v>
      </c>
      <c r="AF193" s="53">
        <v>0</v>
      </c>
      <c r="AG193" s="52">
        <f>SUM(Tabla63[[#This Row],[ENERO]:[DICIEMBRE]])</f>
        <v>0</v>
      </c>
      <c r="AI193" s="48" t="s">
        <v>49</v>
      </c>
      <c r="AJ193" s="47">
        <v>22</v>
      </c>
      <c r="AK193" s="177"/>
      <c r="AL193" s="170">
        <v>0</v>
      </c>
      <c r="AM193" s="170">
        <f>[1]I001!$B$6</f>
        <v>353400</v>
      </c>
      <c r="AN193" s="170">
        <v>0</v>
      </c>
      <c r="AO193" s="170">
        <v>0</v>
      </c>
      <c r="AP193" s="170">
        <v>0</v>
      </c>
      <c r="AQ193" s="50">
        <v>0</v>
      </c>
      <c r="AR193" s="50">
        <v>0</v>
      </c>
      <c r="AS193" s="50">
        <v>0</v>
      </c>
      <c r="AT193" s="50">
        <v>0</v>
      </c>
      <c r="AU193" s="50">
        <v>0</v>
      </c>
      <c r="AV193" s="50">
        <v>0</v>
      </c>
      <c r="AW193" s="50">
        <v>0</v>
      </c>
      <c r="AX193" s="45">
        <f>SUM(Tabla634[[#This Row],[ENERO]:[DICIEMBRE]])</f>
        <v>353400</v>
      </c>
    </row>
    <row r="194" spans="1:50">
      <c r="A194" s="37" t="s">
        <v>49</v>
      </c>
      <c r="B194" s="36">
        <v>23</v>
      </c>
      <c r="C194" s="177" t="s">
        <v>189</v>
      </c>
      <c r="D194" s="76">
        <f>[1]I023!$K$5</f>
        <v>0</v>
      </c>
      <c r="E194" s="76">
        <f>[1]I023!$K$6</f>
        <v>0</v>
      </c>
      <c r="P194" s="42">
        <f>SUM(Tabla6[[#This Row],[ENERO]:[DICIEMBRE]])</f>
        <v>0</v>
      </c>
      <c r="R194" s="48" t="s">
        <v>49</v>
      </c>
      <c r="S194" s="47">
        <v>23</v>
      </c>
      <c r="T194" s="177" t="s">
        <v>189</v>
      </c>
      <c r="U194" s="53">
        <f>[2]I023!$L$5</f>
        <v>177600</v>
      </c>
      <c r="V194" s="53">
        <f>[2]I023!$L$6</f>
        <v>0</v>
      </c>
      <c r="W194" s="50"/>
      <c r="X194" s="53">
        <v>0</v>
      </c>
      <c r="Y194" s="53">
        <v>0</v>
      </c>
      <c r="Z194" s="50">
        <v>0</v>
      </c>
      <c r="AA194" s="53">
        <v>0</v>
      </c>
      <c r="AB194" s="53">
        <v>0</v>
      </c>
      <c r="AC194" s="53">
        <v>0</v>
      </c>
      <c r="AD194" s="53">
        <v>0</v>
      </c>
      <c r="AE194" s="53">
        <v>0</v>
      </c>
      <c r="AF194" s="53">
        <v>0</v>
      </c>
      <c r="AG194" s="52">
        <f>SUM(Tabla63[[#This Row],[ENERO]:[DICIEMBRE]])</f>
        <v>177600</v>
      </c>
      <c r="AI194" s="48" t="s">
        <v>49</v>
      </c>
      <c r="AJ194" s="47">
        <v>23</v>
      </c>
      <c r="AK194" s="177" t="s">
        <v>189</v>
      </c>
      <c r="AL194" s="170">
        <f>[2]I023!$B$5</f>
        <v>177600</v>
      </c>
      <c r="AM194" s="170">
        <f>[1]I023!$B$6</f>
        <v>177600</v>
      </c>
      <c r="AN194" s="170">
        <v>0</v>
      </c>
      <c r="AO194" s="170">
        <v>0</v>
      </c>
      <c r="AP194" s="170">
        <v>0</v>
      </c>
      <c r="AQ194" s="50">
        <v>0</v>
      </c>
      <c r="AR194" s="50">
        <v>0</v>
      </c>
      <c r="AS194" s="50">
        <v>0</v>
      </c>
      <c r="AT194" s="50">
        <v>0</v>
      </c>
      <c r="AU194" s="50">
        <v>0</v>
      </c>
      <c r="AV194" s="50">
        <v>0</v>
      </c>
      <c r="AW194" s="50">
        <v>0</v>
      </c>
      <c r="AX194" s="45">
        <f>SUM(Tabla634[[#This Row],[ENERO]:[DICIEMBRE]])</f>
        <v>355200</v>
      </c>
    </row>
    <row r="195" spans="1:50" hidden="1">
      <c r="A195" s="37" t="s">
        <v>49</v>
      </c>
      <c r="B195" s="36">
        <v>24</v>
      </c>
      <c r="D195" s="76">
        <f>[1]P001!$K$5</f>
        <v>0</v>
      </c>
      <c r="E195" s="76">
        <f>[1]P001!$K$5</f>
        <v>0</v>
      </c>
      <c r="P195" s="42">
        <f>SUM(Tabla6[[#This Row],[ENERO]:[DICIEMBRE]])</f>
        <v>0</v>
      </c>
      <c r="R195" s="48" t="s">
        <v>49</v>
      </c>
      <c r="S195" s="47">
        <v>24</v>
      </c>
      <c r="T195" s="177"/>
      <c r="U195" s="53">
        <f>[3]I024!$L$5</f>
        <v>23400</v>
      </c>
      <c r="V195" s="53">
        <f>[3]I024!$L$5</f>
        <v>23400</v>
      </c>
      <c r="W195" s="50"/>
      <c r="X195" s="53">
        <f>[3]I024!$L$8</f>
        <v>0</v>
      </c>
      <c r="Y195" s="53">
        <f>[3]I024!$L$9</f>
        <v>0</v>
      </c>
      <c r="Z195" s="50">
        <v>0</v>
      </c>
      <c r="AA195" s="53">
        <f>[3]I024!$L$11</f>
        <v>0</v>
      </c>
      <c r="AB195" s="53">
        <v>0</v>
      </c>
      <c r="AC195" s="53">
        <v>0</v>
      </c>
      <c r="AD195" s="53">
        <v>0</v>
      </c>
      <c r="AE195" s="53">
        <v>0</v>
      </c>
      <c r="AF195" s="53">
        <v>0</v>
      </c>
      <c r="AG195" s="52">
        <f>SUM(Tabla63[[#This Row],[ENERO]:[DICIEMBRE]])</f>
        <v>46800</v>
      </c>
      <c r="AI195" s="48" t="s">
        <v>49</v>
      </c>
      <c r="AJ195" s="47">
        <v>24</v>
      </c>
      <c r="AK195" s="177"/>
      <c r="AL195" s="170">
        <v>0</v>
      </c>
      <c r="AM195" s="170">
        <f>[1]I001!$B$6</f>
        <v>353400</v>
      </c>
      <c r="AN195" s="170">
        <v>0</v>
      </c>
      <c r="AO195" s="170">
        <v>0</v>
      </c>
      <c r="AP195" s="170">
        <v>0</v>
      </c>
      <c r="AQ195" s="50">
        <v>0</v>
      </c>
      <c r="AR195" s="50">
        <v>0</v>
      </c>
      <c r="AS195" s="50">
        <v>0</v>
      </c>
      <c r="AT195" s="50">
        <v>0</v>
      </c>
      <c r="AU195" s="50">
        <v>0</v>
      </c>
      <c r="AV195" s="50">
        <v>0</v>
      </c>
      <c r="AW195" s="50">
        <v>0</v>
      </c>
      <c r="AX195" s="45">
        <f>SUM(Tabla634[[#This Row],[ENERO]:[DICIEMBRE]])</f>
        <v>353400</v>
      </c>
    </row>
    <row r="196" spans="1:50" hidden="1">
      <c r="A196" s="37" t="s">
        <v>49</v>
      </c>
      <c r="B196" s="36">
        <v>25</v>
      </c>
      <c r="D196" s="76">
        <f>[1]P001!$K$5</f>
        <v>0</v>
      </c>
      <c r="E196" s="76">
        <f>[1]P001!$K$5</f>
        <v>0</v>
      </c>
      <c r="P196" s="42">
        <f>SUM(Tabla6[[#This Row],[ENERO]:[DICIEMBRE]])</f>
        <v>0</v>
      </c>
      <c r="R196" s="48" t="s">
        <v>49</v>
      </c>
      <c r="S196" s="47">
        <v>25</v>
      </c>
      <c r="T196" s="177"/>
      <c r="U196" s="53">
        <f>[3]I025!$L$5</f>
        <v>0</v>
      </c>
      <c r="V196" s="53">
        <f>[3]I025!$L$5</f>
        <v>0</v>
      </c>
      <c r="W196" s="50"/>
      <c r="X196" s="53">
        <f>[3]I025!$L$8</f>
        <v>0</v>
      </c>
      <c r="Y196" s="53">
        <f>[3]I025!$L$9</f>
        <v>0</v>
      </c>
      <c r="Z196" s="50">
        <v>0</v>
      </c>
      <c r="AA196" s="53">
        <f>[3]I025!$L$11</f>
        <v>0</v>
      </c>
      <c r="AB196" s="53">
        <v>0</v>
      </c>
      <c r="AC196" s="53">
        <v>0</v>
      </c>
      <c r="AD196" s="53">
        <v>0</v>
      </c>
      <c r="AE196" s="53">
        <v>0</v>
      </c>
      <c r="AF196" s="53">
        <v>0</v>
      </c>
      <c r="AG196" s="52">
        <f>SUM(Tabla63[[#This Row],[ENERO]:[DICIEMBRE]])</f>
        <v>0</v>
      </c>
      <c r="AI196" s="48" t="s">
        <v>49</v>
      </c>
      <c r="AJ196" s="47">
        <v>25</v>
      </c>
      <c r="AK196" s="177"/>
      <c r="AL196" s="170">
        <v>0</v>
      </c>
      <c r="AM196" s="170">
        <f>[1]I001!$B$6</f>
        <v>353400</v>
      </c>
      <c r="AN196" s="170">
        <v>0</v>
      </c>
      <c r="AO196" s="170">
        <v>0</v>
      </c>
      <c r="AP196" s="170">
        <v>0</v>
      </c>
      <c r="AQ196" s="50">
        <v>0</v>
      </c>
      <c r="AR196" s="50">
        <v>0</v>
      </c>
      <c r="AS196" s="50">
        <v>0</v>
      </c>
      <c r="AT196" s="50">
        <v>0</v>
      </c>
      <c r="AU196" s="50">
        <v>0</v>
      </c>
      <c r="AV196" s="50">
        <v>0</v>
      </c>
      <c r="AW196" s="50">
        <v>0</v>
      </c>
      <c r="AX196" s="45">
        <f>SUM(Tabla634[[#This Row],[ENERO]:[DICIEMBRE]])</f>
        <v>353400</v>
      </c>
    </row>
    <row r="197" spans="1:50">
      <c r="A197" s="37" t="s">
        <v>32</v>
      </c>
      <c r="B197" s="36">
        <v>1</v>
      </c>
      <c r="C197" s="177" t="s">
        <v>190</v>
      </c>
      <c r="D197" s="76">
        <f>[1]PC001!$K$5</f>
        <v>477200</v>
      </c>
      <c r="E197" s="76">
        <f>[1]PC001!$K$6</f>
        <v>477200</v>
      </c>
      <c r="P197" s="42">
        <f>SUM(Tabla6[[#This Row],[ENERO]:[DICIEMBRE]])</f>
        <v>954400</v>
      </c>
      <c r="R197" s="48" t="s">
        <v>32</v>
      </c>
      <c r="S197" s="47">
        <v>1</v>
      </c>
      <c r="T197" s="177" t="s">
        <v>190</v>
      </c>
      <c r="U197" s="53">
        <f>[2]PC001!$L$5</f>
        <v>0</v>
      </c>
      <c r="V197" s="53">
        <f>[2]PC001!$L$6</f>
        <v>0</v>
      </c>
      <c r="W197" s="50"/>
      <c r="X197" s="50">
        <v>0</v>
      </c>
      <c r="Y197" s="50">
        <v>0</v>
      </c>
      <c r="Z197" s="50">
        <v>0</v>
      </c>
      <c r="AA197" s="53">
        <v>0</v>
      </c>
      <c r="AB197" s="53">
        <v>0</v>
      </c>
      <c r="AC197" s="53">
        <v>0</v>
      </c>
      <c r="AD197" s="53">
        <v>0</v>
      </c>
      <c r="AE197" s="53">
        <v>0</v>
      </c>
      <c r="AF197" s="53">
        <v>0</v>
      </c>
      <c r="AG197" s="52">
        <f>SUM(Tabla63[[#This Row],[ENERO]:[DICIEMBRE]])</f>
        <v>0</v>
      </c>
      <c r="AI197" s="48" t="s">
        <v>32</v>
      </c>
      <c r="AJ197" s="47">
        <v>1</v>
      </c>
      <c r="AK197" s="177" t="s">
        <v>190</v>
      </c>
      <c r="AL197" s="170">
        <f>[2]PC001!$B$5</f>
        <v>477200</v>
      </c>
      <c r="AM197" s="170">
        <f>[1]PC001!$B$6</f>
        <v>477200</v>
      </c>
      <c r="AN197" s="170">
        <v>0</v>
      </c>
      <c r="AO197" s="170">
        <v>0</v>
      </c>
      <c r="AP197" s="170">
        <v>0</v>
      </c>
      <c r="AQ197" s="50">
        <v>0</v>
      </c>
      <c r="AR197" s="50">
        <v>0</v>
      </c>
      <c r="AS197" s="50">
        <v>0</v>
      </c>
      <c r="AT197" s="50">
        <v>0</v>
      </c>
      <c r="AU197" s="50">
        <v>0</v>
      </c>
      <c r="AV197" s="50">
        <v>0</v>
      </c>
      <c r="AW197" s="50">
        <v>0</v>
      </c>
      <c r="AX197" s="45">
        <f>SUM(Tabla634[[#This Row],[ENERO]:[DICIEMBRE]])</f>
        <v>954400</v>
      </c>
    </row>
    <row r="198" spans="1:50" hidden="1">
      <c r="A198" s="37" t="s">
        <v>32</v>
      </c>
      <c r="B198" s="36">
        <v>2</v>
      </c>
      <c r="D198" s="76">
        <f>[1]P001!$K$5</f>
        <v>0</v>
      </c>
      <c r="E198" s="76">
        <f>[1]P005!$K$6</f>
        <v>0</v>
      </c>
      <c r="F198" s="40">
        <f>[3]PC002!$K$7</f>
        <v>0</v>
      </c>
      <c r="G198" s="40">
        <f>[3]PC002!$K$8</f>
        <v>0</v>
      </c>
      <c r="H198" s="40">
        <f>[3]PC002!$K$9</f>
        <v>0</v>
      </c>
      <c r="I198" s="40">
        <f>[3]PC002!$K$10</f>
        <v>0</v>
      </c>
      <c r="J198" s="40">
        <f>[3]PC002!$K$11</f>
        <v>0</v>
      </c>
      <c r="K198" s="40">
        <f>[3]PC002!$K$12</f>
        <v>0</v>
      </c>
      <c r="L198" s="40">
        <f>[3]PC002!$K$13</f>
        <v>0</v>
      </c>
      <c r="M198" s="40">
        <f>[3]PC002!$K$14</f>
        <v>0</v>
      </c>
      <c r="N198" s="40">
        <f>[3]PC002!$K$15</f>
        <v>0</v>
      </c>
      <c r="O198" s="40">
        <f>[3]PC002!$K$16</f>
        <v>0</v>
      </c>
      <c r="P198" s="42">
        <f>SUM(Tabla6[[#This Row],[ENERO]:[DICIEMBRE]])</f>
        <v>0</v>
      </c>
      <c r="R198" s="48" t="s">
        <v>32</v>
      </c>
      <c r="S198" s="47">
        <v>2</v>
      </c>
      <c r="T198" s="177"/>
      <c r="U198" s="50">
        <f>[3]PC002!$L$5</f>
        <v>0</v>
      </c>
      <c r="V198" s="50"/>
      <c r="W198" s="50"/>
      <c r="X198" s="50">
        <f>[3]PC002!$L$8</f>
        <v>0</v>
      </c>
      <c r="Y198" s="50">
        <f>[3]PC002!$L$9</f>
        <v>0</v>
      </c>
      <c r="Z198" s="50">
        <f>[3]PC002!$L$10</f>
        <v>0</v>
      </c>
      <c r="AA198" s="50">
        <f>[3]PC002!$L$11</f>
        <v>0</v>
      </c>
      <c r="AB198" s="53">
        <v>0</v>
      </c>
      <c r="AC198" s="50">
        <f>[3]PC002!$L$13</f>
        <v>0</v>
      </c>
      <c r="AD198" s="53">
        <v>0</v>
      </c>
      <c r="AE198" s="53">
        <v>0</v>
      </c>
      <c r="AF198" s="53">
        <v>0</v>
      </c>
      <c r="AG198" s="52">
        <f>SUM(Tabla63[[#This Row],[ENERO]:[DICIEMBRE]])</f>
        <v>0</v>
      </c>
      <c r="AI198" s="48" t="s">
        <v>32</v>
      </c>
      <c r="AJ198" s="47">
        <v>2</v>
      </c>
      <c r="AK198" s="177"/>
      <c r="AL198" s="170">
        <v>0</v>
      </c>
      <c r="AM198" s="170">
        <v>0</v>
      </c>
      <c r="AN198" s="170">
        <v>0</v>
      </c>
      <c r="AO198" s="170">
        <v>0</v>
      </c>
      <c r="AP198" s="170">
        <v>0</v>
      </c>
      <c r="AQ198" s="50">
        <v>0</v>
      </c>
      <c r="AR198" s="50">
        <v>0</v>
      </c>
      <c r="AS198" s="50">
        <v>0</v>
      </c>
      <c r="AT198" s="50">
        <v>0</v>
      </c>
      <c r="AU198" s="50">
        <v>0</v>
      </c>
      <c r="AV198" s="50">
        <v>0</v>
      </c>
      <c r="AW198" s="50">
        <v>0</v>
      </c>
      <c r="AX198" s="45">
        <f>SUM(Tabla634[[#This Row],[ENERO]:[DICIEMBRE]])</f>
        <v>0</v>
      </c>
    </row>
    <row r="199" spans="1:50" hidden="1">
      <c r="A199" s="37" t="s">
        <v>32</v>
      </c>
      <c r="B199" s="36">
        <v>3</v>
      </c>
      <c r="D199" s="76">
        <f>[1]P001!$K$5</f>
        <v>0</v>
      </c>
      <c r="E199" s="76">
        <f>[1]P005!$K$6</f>
        <v>0</v>
      </c>
      <c r="F199" s="40">
        <f>[3]PC003!$K$7</f>
        <v>0</v>
      </c>
      <c r="G199" s="40">
        <f>[3]PC003!$K$8</f>
        <v>0</v>
      </c>
      <c r="H199" s="40">
        <f>[3]PC003!$K$9</f>
        <v>0</v>
      </c>
      <c r="I199" s="40">
        <f>[3]PC003!$K$10</f>
        <v>0</v>
      </c>
      <c r="J199" s="40">
        <f>[3]PC003!$K$11</f>
        <v>0</v>
      </c>
      <c r="K199" s="40">
        <f>[3]PC003!$K$12</f>
        <v>0</v>
      </c>
      <c r="L199" s="40">
        <f>[3]PC003!$K$13</f>
        <v>0</v>
      </c>
      <c r="M199" s="40">
        <f>[3]PC003!$K$14</f>
        <v>0</v>
      </c>
      <c r="N199" s="40">
        <f>[3]PC003!$K$15</f>
        <v>0</v>
      </c>
      <c r="O199" s="40">
        <f>[3]PC003!$K$16</f>
        <v>0</v>
      </c>
      <c r="P199" s="42">
        <f>SUM(Tabla6[[#This Row],[ENERO]:[DICIEMBRE]])</f>
        <v>0</v>
      </c>
      <c r="R199" s="48" t="s">
        <v>32</v>
      </c>
      <c r="S199" s="47">
        <v>3</v>
      </c>
      <c r="T199" s="177"/>
      <c r="U199" s="50">
        <f>[3]PC003!$L$5</f>
        <v>0</v>
      </c>
      <c r="V199" s="50"/>
      <c r="W199" s="50"/>
      <c r="X199" s="50">
        <f>[3]PC003!$L$8</f>
        <v>0</v>
      </c>
      <c r="Y199" s="50">
        <f>[3]PC003!$L$9</f>
        <v>0</v>
      </c>
      <c r="Z199" s="50">
        <f>[3]PC003!$L$10</f>
        <v>0</v>
      </c>
      <c r="AA199" s="50">
        <f>[3]PC003!$L$11</f>
        <v>0</v>
      </c>
      <c r="AB199" s="53">
        <v>0</v>
      </c>
      <c r="AC199" s="50">
        <f>[3]PC003!$L$13</f>
        <v>0</v>
      </c>
      <c r="AD199" s="53">
        <v>0</v>
      </c>
      <c r="AE199" s="53">
        <v>0</v>
      </c>
      <c r="AF199" s="53">
        <v>0</v>
      </c>
      <c r="AG199" s="52">
        <f>SUM(Tabla63[[#This Row],[ENERO]:[DICIEMBRE]])</f>
        <v>0</v>
      </c>
      <c r="AI199" s="48" t="s">
        <v>32</v>
      </c>
      <c r="AJ199" s="47">
        <v>3</v>
      </c>
      <c r="AK199" s="177"/>
      <c r="AL199" s="170">
        <v>0</v>
      </c>
      <c r="AM199" s="170">
        <v>0</v>
      </c>
      <c r="AN199" s="170">
        <v>0</v>
      </c>
      <c r="AO199" s="170">
        <v>0</v>
      </c>
      <c r="AP199" s="170">
        <v>0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>
        <v>0</v>
      </c>
      <c r="AW199" s="50">
        <v>0</v>
      </c>
      <c r="AX199" s="45">
        <f>SUM(Tabla634[[#This Row],[ENERO]:[DICIEMBRE]])</f>
        <v>0</v>
      </c>
    </row>
    <row r="200" spans="1:50" hidden="1">
      <c r="A200" s="37" t="s">
        <v>32</v>
      </c>
      <c r="B200" s="36">
        <v>4</v>
      </c>
      <c r="D200" s="76">
        <f>[1]P001!$K$5</f>
        <v>0</v>
      </c>
      <c r="E200" s="76">
        <f>[1]P005!$K$6</f>
        <v>0</v>
      </c>
      <c r="F200" s="40">
        <f>[3]PC004!$K$7</f>
        <v>0</v>
      </c>
      <c r="G200" s="40">
        <f>[3]PC004!$K$8</f>
        <v>0</v>
      </c>
      <c r="H200" s="40">
        <f>[3]PC004!$K$9</f>
        <v>0</v>
      </c>
      <c r="I200" s="40">
        <f>[3]PC004!$K$10</f>
        <v>0</v>
      </c>
      <c r="J200" s="40">
        <f>[3]PC004!$K$11</f>
        <v>0</v>
      </c>
      <c r="K200" s="40">
        <f>[3]PC004!$K$12</f>
        <v>0</v>
      </c>
      <c r="L200" s="40">
        <f>[3]PC004!$K$13</f>
        <v>0</v>
      </c>
      <c r="M200" s="40">
        <f>[3]PC004!$K$14</f>
        <v>0</v>
      </c>
      <c r="N200" s="40">
        <f>[3]PC004!$K$15</f>
        <v>0</v>
      </c>
      <c r="O200" s="40">
        <f>[3]PC004!$K$16</f>
        <v>0</v>
      </c>
      <c r="P200" s="42">
        <f>SUM(Tabla6[[#This Row],[ENERO]:[DICIEMBRE]])</f>
        <v>0</v>
      </c>
      <c r="R200" s="48" t="s">
        <v>32</v>
      </c>
      <c r="S200" s="47">
        <v>4</v>
      </c>
      <c r="T200" s="177"/>
      <c r="U200" s="50">
        <f>[3]PC004!$L$5</f>
        <v>0</v>
      </c>
      <c r="V200" s="50"/>
      <c r="W200" s="50"/>
      <c r="X200" s="50">
        <f>[3]PC004!$L$6</f>
        <v>0</v>
      </c>
      <c r="Y200" s="50">
        <f>[3]PC004!$L$6</f>
        <v>0</v>
      </c>
      <c r="Z200" s="50">
        <f>[3]PC004!$L$6</f>
        <v>0</v>
      </c>
      <c r="AA200" s="50">
        <f>[3]PC004!$L$6</f>
        <v>0</v>
      </c>
      <c r="AB200" s="53">
        <v>0</v>
      </c>
      <c r="AC200" s="50">
        <f>[3]PC004!$L$6</f>
        <v>0</v>
      </c>
      <c r="AD200" s="53">
        <v>0</v>
      </c>
      <c r="AE200" s="53">
        <v>0</v>
      </c>
      <c r="AF200" s="53">
        <v>0</v>
      </c>
      <c r="AG200" s="52">
        <f>SUM(Tabla63[[#This Row],[ENERO]:[DICIEMBRE]])</f>
        <v>0</v>
      </c>
      <c r="AI200" s="48" t="s">
        <v>32</v>
      </c>
      <c r="AJ200" s="47">
        <v>4</v>
      </c>
      <c r="AK200" s="177"/>
      <c r="AL200" s="170">
        <v>0</v>
      </c>
      <c r="AM200" s="170">
        <v>0</v>
      </c>
      <c r="AN200" s="170">
        <v>0</v>
      </c>
      <c r="AO200" s="170">
        <v>0</v>
      </c>
      <c r="AP200" s="170">
        <v>0</v>
      </c>
      <c r="AQ200" s="50">
        <v>0</v>
      </c>
      <c r="AR200" s="50">
        <v>0</v>
      </c>
      <c r="AS200" s="50">
        <v>0</v>
      </c>
      <c r="AT200" s="50">
        <v>0</v>
      </c>
      <c r="AU200" s="50">
        <v>0</v>
      </c>
      <c r="AV200" s="50">
        <v>0</v>
      </c>
      <c r="AW200" s="50">
        <v>0</v>
      </c>
      <c r="AX200" s="45">
        <f>SUM(Tabla634[[#This Row],[ENERO]:[DICIEMBRE]])</f>
        <v>0</v>
      </c>
    </row>
    <row r="201" spans="1:50" hidden="1">
      <c r="A201" s="37" t="s">
        <v>32</v>
      </c>
      <c r="B201" s="36">
        <v>5</v>
      </c>
      <c r="D201" s="76">
        <f>[1]P001!$K$5</f>
        <v>0</v>
      </c>
      <c r="E201" s="76">
        <f>[1]P005!$K$6</f>
        <v>0</v>
      </c>
      <c r="F201" s="40">
        <f>[3]PC005!$K$7</f>
        <v>0</v>
      </c>
      <c r="G201" s="40">
        <f>[3]PC005!$K$8</f>
        <v>0</v>
      </c>
      <c r="H201" s="40">
        <f>[3]PC005!$K$9</f>
        <v>0</v>
      </c>
      <c r="I201" s="40">
        <f>[3]PC005!$K$10</f>
        <v>0</v>
      </c>
      <c r="J201" s="40">
        <f>[3]PC005!$K$11</f>
        <v>0</v>
      </c>
      <c r="K201" s="40">
        <f>[3]PC005!$K$12</f>
        <v>0</v>
      </c>
      <c r="L201" s="40">
        <f>[3]PC005!$K$13</f>
        <v>0</v>
      </c>
      <c r="M201" s="40">
        <f>[3]PC005!$K$14</f>
        <v>0</v>
      </c>
      <c r="N201" s="40">
        <f>[3]PC005!$K$15</f>
        <v>0</v>
      </c>
      <c r="O201" s="40">
        <f>[3]PC005!$K$16</f>
        <v>0</v>
      </c>
      <c r="P201" s="42">
        <f>SUM(Tabla6[[#This Row],[ENERO]:[DICIEMBRE]])</f>
        <v>0</v>
      </c>
      <c r="R201" s="48" t="s">
        <v>32</v>
      </c>
      <c r="S201" s="47">
        <v>5</v>
      </c>
      <c r="T201" s="177"/>
      <c r="U201" s="50">
        <f>[3]PC005!$L$5</f>
        <v>0</v>
      </c>
      <c r="V201" s="50"/>
      <c r="W201" s="50"/>
      <c r="X201" s="50">
        <f>[3]PC005!$L$8</f>
        <v>73000</v>
      </c>
      <c r="Y201" s="50">
        <f>[3]PC005!$L$9</f>
        <v>69000</v>
      </c>
      <c r="Z201" s="50">
        <f>[3]PC005!$L$10</f>
        <v>86300</v>
      </c>
      <c r="AA201" s="50">
        <f>[3]PC005!$L$11</f>
        <v>86300</v>
      </c>
      <c r="AB201" s="53">
        <v>0</v>
      </c>
      <c r="AC201" s="50">
        <f>[3]PC005!$L$13</f>
        <v>106000</v>
      </c>
      <c r="AD201" s="53">
        <v>0</v>
      </c>
      <c r="AE201" s="53">
        <v>0</v>
      </c>
      <c r="AF201" s="53">
        <v>0</v>
      </c>
      <c r="AG201" s="52">
        <f>SUM(Tabla63[[#This Row],[ENERO]:[DICIEMBRE]])</f>
        <v>420600</v>
      </c>
      <c r="AI201" s="48" t="s">
        <v>32</v>
      </c>
      <c r="AJ201" s="47">
        <v>5</v>
      </c>
      <c r="AK201" s="389" t="s">
        <v>222</v>
      </c>
      <c r="AL201" s="170">
        <v>0</v>
      </c>
      <c r="AM201" s="170">
        <v>0</v>
      </c>
      <c r="AN201" s="170">
        <v>0</v>
      </c>
      <c r="AO201" s="170">
        <v>0</v>
      </c>
      <c r="AP201" s="170">
        <v>0</v>
      </c>
      <c r="AQ201" s="50">
        <v>0</v>
      </c>
      <c r="AR201" s="50">
        <v>0</v>
      </c>
      <c r="AS201" s="50">
        <v>0</v>
      </c>
      <c r="AT201" s="50">
        <v>0</v>
      </c>
      <c r="AU201" s="50">
        <v>0</v>
      </c>
      <c r="AV201" s="50">
        <v>0</v>
      </c>
      <c r="AW201" s="50">
        <v>0</v>
      </c>
      <c r="AX201" s="45">
        <f>SUM(Tabla634[[#This Row],[ENERO]:[DICIEMBRE]])</f>
        <v>0</v>
      </c>
    </row>
    <row r="202" spans="1:50" hidden="1">
      <c r="A202" s="37" t="s">
        <v>32</v>
      </c>
      <c r="B202" s="36">
        <v>6</v>
      </c>
      <c r="C202" s="177" t="s">
        <v>191</v>
      </c>
      <c r="D202" s="76">
        <f>[1]P001!$K$5</f>
        <v>0</v>
      </c>
      <c r="E202" s="76">
        <f>[1]P005!$K$6</f>
        <v>0</v>
      </c>
      <c r="F202" s="40">
        <f>[3]PC006!$K$7</f>
        <v>0</v>
      </c>
      <c r="G202" s="40">
        <f>[3]PC006!$K$8</f>
        <v>0</v>
      </c>
      <c r="H202" s="40">
        <f>[3]PC006!$K$9</f>
        <v>0</v>
      </c>
      <c r="I202" s="40">
        <f>[3]PC006!$K$10</f>
        <v>0</v>
      </c>
      <c r="J202" s="40">
        <f>[3]PC006!$K$11</f>
        <v>100</v>
      </c>
      <c r="K202" s="40">
        <f>[3]PC006!$K$12</f>
        <v>214500</v>
      </c>
      <c r="L202" s="40">
        <f>[3]PC006!$K$13</f>
        <v>214500</v>
      </c>
      <c r="M202" s="40">
        <f>[3]PC006!$K$14</f>
        <v>214500</v>
      </c>
      <c r="N202" s="40">
        <f>[3]PC006!$K$15</f>
        <v>214500</v>
      </c>
      <c r="O202" s="40">
        <f>[3]PC006!$K$16</f>
        <v>214500</v>
      </c>
      <c r="P202" s="42">
        <f>SUM(Tabla6[[#This Row],[ENERO]:[DICIEMBRE]])</f>
        <v>1072600</v>
      </c>
      <c r="R202" s="48" t="s">
        <v>32</v>
      </c>
      <c r="S202" s="47">
        <v>6</v>
      </c>
      <c r="T202" s="177" t="s">
        <v>191</v>
      </c>
      <c r="U202" s="50">
        <f>[3]PC006!$L$5</f>
        <v>87000</v>
      </c>
      <c r="V202" s="50"/>
      <c r="W202" s="50"/>
      <c r="X202" s="50">
        <f>[3]PC006!$L$8</f>
        <v>157750</v>
      </c>
      <c r="Y202" s="50">
        <f>[3]PC006!$L$9</f>
        <v>195000</v>
      </c>
      <c r="Z202" s="50">
        <f>[3]PC006!$L$10</f>
        <v>195000</v>
      </c>
      <c r="AA202" s="50">
        <f>[3]PC006!$L$11</f>
        <v>214400</v>
      </c>
      <c r="AB202" s="53">
        <v>0</v>
      </c>
      <c r="AC202" s="50">
        <f>[3]PC006!$L$13</f>
        <v>0</v>
      </c>
      <c r="AD202" s="53">
        <v>0</v>
      </c>
      <c r="AE202" s="53">
        <v>0</v>
      </c>
      <c r="AF202" s="53">
        <v>0</v>
      </c>
      <c r="AG202" s="52">
        <f>SUM(Tabla63[[#This Row],[ENERO]:[DICIEMBRE]])</f>
        <v>849150</v>
      </c>
      <c r="AI202" s="48" t="s">
        <v>32</v>
      </c>
      <c r="AJ202" s="47">
        <v>6</v>
      </c>
      <c r="AK202" s="177" t="s">
        <v>191</v>
      </c>
      <c r="AL202" s="170">
        <v>0</v>
      </c>
      <c r="AM202" s="170">
        <v>0</v>
      </c>
      <c r="AN202" s="170">
        <v>0</v>
      </c>
      <c r="AO202" s="170">
        <v>0</v>
      </c>
      <c r="AP202" s="17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>
        <v>0</v>
      </c>
      <c r="AW202" s="50">
        <v>0</v>
      </c>
      <c r="AX202" s="45">
        <f>SUM(Tabla634[[#This Row],[ENERO]:[DICIEMBRE]])</f>
        <v>0</v>
      </c>
    </row>
    <row r="203" spans="1:50" hidden="1">
      <c r="A203" s="37" t="s">
        <v>30</v>
      </c>
      <c r="B203" s="36">
        <v>1</v>
      </c>
      <c r="D203" s="76">
        <f>[1]P001!$K$5</f>
        <v>0</v>
      </c>
      <c r="E203" s="76">
        <f>[1]P005!$K$6</f>
        <v>0</v>
      </c>
      <c r="F203" s="40">
        <f>[3]LAVADERO!$K$7</f>
        <v>0</v>
      </c>
      <c r="G203" s="40">
        <f>[3]LAVADERO!$K$8</f>
        <v>0</v>
      </c>
      <c r="H203" s="40">
        <f>[3]LAVADERO!$K$9</f>
        <v>0</v>
      </c>
      <c r="I203" s="40">
        <f>[3]LAVADERO!$K$10</f>
        <v>0</v>
      </c>
      <c r="J203" s="40">
        <f>[3]LAVADERO!$K$11</f>
        <v>0</v>
      </c>
      <c r="K203" s="40">
        <f>[3]LAVADERO!$K$12</f>
        <v>0</v>
      </c>
      <c r="L203" s="40">
        <f>[3]LAVADERO!$K$13</f>
        <v>0</v>
      </c>
      <c r="M203" s="40">
        <f>[3]LAVADERO!$K$14</f>
        <v>0</v>
      </c>
      <c r="N203" s="40">
        <f>[3]LAVADERO!$K$15</f>
        <v>0</v>
      </c>
      <c r="O203" s="40">
        <f>[3]LAVADERO!$K$16</f>
        <v>0</v>
      </c>
      <c r="P203" s="42">
        <f>SUM(Tabla6[[#This Row],[ENERO]:[DICIEMBRE]])</f>
        <v>0</v>
      </c>
      <c r="R203" s="48" t="s">
        <v>30</v>
      </c>
      <c r="S203" s="47">
        <v>1</v>
      </c>
      <c r="T203" s="49"/>
      <c r="U203" s="50">
        <f>[3]LAVADERO!$L$5</f>
        <v>0</v>
      </c>
      <c r="V203" s="50"/>
      <c r="W203" s="50"/>
      <c r="X203" s="50">
        <f>[3]LAVADERO!$L$8</f>
        <v>0</v>
      </c>
      <c r="Y203" s="50">
        <f>[3]LAVADERO!$L$9</f>
        <v>0</v>
      </c>
      <c r="Z203" s="50">
        <f>[3]LAVADERO!$L$10</f>
        <v>0</v>
      </c>
      <c r="AA203" s="50">
        <f>[3]LAVADERO!$L$11</f>
        <v>0</v>
      </c>
      <c r="AB203" s="53">
        <v>0</v>
      </c>
      <c r="AC203" s="50">
        <f>[3]LAVADERO!$L$13</f>
        <v>0</v>
      </c>
      <c r="AD203" s="53">
        <v>0</v>
      </c>
      <c r="AE203" s="53">
        <v>0</v>
      </c>
      <c r="AF203" s="53">
        <v>0</v>
      </c>
      <c r="AG203" s="52">
        <f>SUM(Tabla63[[#This Row],[ENERO]:[DICIEMBRE]])</f>
        <v>0</v>
      </c>
      <c r="AI203" s="48" t="s">
        <v>30</v>
      </c>
      <c r="AJ203" s="47">
        <v>1</v>
      </c>
      <c r="AK203" s="49"/>
      <c r="AL203" s="170">
        <v>0</v>
      </c>
      <c r="AM203" s="170">
        <v>0</v>
      </c>
      <c r="AN203" s="170">
        <v>0</v>
      </c>
      <c r="AO203" s="170">
        <v>0</v>
      </c>
      <c r="AP203" s="170">
        <v>0</v>
      </c>
      <c r="AQ203" s="50">
        <v>0</v>
      </c>
      <c r="AR203" s="50">
        <v>0</v>
      </c>
      <c r="AS203" s="50">
        <v>0</v>
      </c>
      <c r="AT203" s="50">
        <v>0</v>
      </c>
      <c r="AU203" s="50">
        <v>0</v>
      </c>
      <c r="AV203" s="50">
        <v>0</v>
      </c>
      <c r="AW203" s="50">
        <v>0</v>
      </c>
      <c r="AX203" s="45">
        <f>SUM(Tabla634[[#This Row],[ENERO]:[DICIEMBRE]])</f>
        <v>0</v>
      </c>
    </row>
    <row r="204" spans="1:50" hidden="1">
      <c r="A204" s="37" t="s">
        <v>29</v>
      </c>
      <c r="B204" s="36">
        <v>1</v>
      </c>
      <c r="E204" s="76">
        <f>[1]P005!$K$6</f>
        <v>0</v>
      </c>
      <c r="F204" s="40">
        <f>[4]REMIS!$K$7</f>
        <v>0</v>
      </c>
      <c r="G204" s="40">
        <f>[4]REMIS!$K$8</f>
        <v>0</v>
      </c>
      <c r="H204" s="40">
        <f>[4]REMIS!$K$9</f>
        <v>0</v>
      </c>
      <c r="I204" s="40">
        <f>[4]REMIS!$K$10</f>
        <v>0</v>
      </c>
      <c r="J204" s="40">
        <f>[4]REMIS!$K$11</f>
        <v>0</v>
      </c>
      <c r="K204" s="40">
        <f>[4]REMIS!$K$12</f>
        <v>0</v>
      </c>
      <c r="L204" s="40">
        <f>[4]REMIS!$K$13</f>
        <v>0</v>
      </c>
      <c r="M204" s="40">
        <f>[4]REMIS!$K$14</f>
        <v>0</v>
      </c>
      <c r="N204" s="40">
        <f>[4]REMIS!$K$15</f>
        <v>0</v>
      </c>
      <c r="O204" s="40">
        <f>[4]REMIS!$K$16</f>
        <v>0</v>
      </c>
      <c r="P204" s="42">
        <f>SUM(Tabla6[[#This Row],[ENERO]:[DICIEMBRE]])</f>
        <v>0</v>
      </c>
      <c r="R204" s="48" t="s">
        <v>29</v>
      </c>
      <c r="S204" s="47">
        <v>1</v>
      </c>
      <c r="T204" s="49"/>
      <c r="U204" s="50">
        <f>[4]REMIS!$L$5</f>
        <v>0</v>
      </c>
      <c r="V204" s="50"/>
      <c r="W204" s="50"/>
      <c r="X204" s="50">
        <f>[4]REMIS!$L$8</f>
        <v>0</v>
      </c>
      <c r="Y204" s="50">
        <f>[4]REMIS!$L$9</f>
        <v>0</v>
      </c>
      <c r="Z204" s="50">
        <f>[4]REMIS!$L$10</f>
        <v>0</v>
      </c>
      <c r="AA204" s="50">
        <f>[4]REMIS!$L$11</f>
        <v>0</v>
      </c>
      <c r="AB204" s="53">
        <v>0</v>
      </c>
      <c r="AC204" s="50">
        <f>[4]REMIS!$L$13</f>
        <v>0</v>
      </c>
      <c r="AD204" s="53">
        <v>0</v>
      </c>
      <c r="AE204" s="53">
        <v>0</v>
      </c>
      <c r="AF204" s="53">
        <v>0</v>
      </c>
      <c r="AG204" s="52">
        <f>SUM(Tabla63[[#This Row],[ENERO]:[DICIEMBRE]])</f>
        <v>0</v>
      </c>
      <c r="AI204" s="48" t="s">
        <v>29</v>
      </c>
      <c r="AJ204" s="47">
        <v>1</v>
      </c>
      <c r="AK204" s="49"/>
      <c r="AL204" s="170">
        <v>0</v>
      </c>
      <c r="AM204" s="170">
        <v>0</v>
      </c>
      <c r="AN204" s="170">
        <v>0</v>
      </c>
      <c r="AO204" s="170">
        <v>0</v>
      </c>
      <c r="AP204" s="170">
        <v>0</v>
      </c>
      <c r="AQ204" s="50">
        <v>0</v>
      </c>
      <c r="AR204" s="50">
        <v>0</v>
      </c>
      <c r="AS204" s="50">
        <v>0</v>
      </c>
      <c r="AT204" s="50">
        <v>0</v>
      </c>
      <c r="AU204" s="50">
        <v>0</v>
      </c>
      <c r="AV204" s="50">
        <v>0</v>
      </c>
      <c r="AW204" s="50">
        <v>0</v>
      </c>
      <c r="AX204" s="45">
        <f>SUM(Tabla634[[#This Row],[ENERO]:[DICIEMBRE]])</f>
        <v>0</v>
      </c>
    </row>
    <row r="205" spans="1:50" hidden="1">
      <c r="A205" s="37" t="s">
        <v>48</v>
      </c>
      <c r="B205" s="36">
        <v>1</v>
      </c>
      <c r="D205" s="40">
        <f>[3]KIOSKO!$K$5</f>
        <v>0</v>
      </c>
      <c r="E205" s="76">
        <f>[1]P005!$K$6</f>
        <v>0</v>
      </c>
      <c r="F205" s="40">
        <f>[4]KIOSKO!$K$7</f>
        <v>0</v>
      </c>
      <c r="G205" s="40">
        <f>[4]KIOSKO!$K$8</f>
        <v>0</v>
      </c>
      <c r="H205" s="40">
        <f>[4]KIOSKO!$K$9</f>
        <v>0</v>
      </c>
      <c r="I205" s="40">
        <f>[4]KIOSKO!$K$10</f>
        <v>0</v>
      </c>
      <c r="J205" s="40">
        <f>[4]KIOSKO!$K$11</f>
        <v>0</v>
      </c>
      <c r="K205" s="40">
        <f>[4]KIOSKO!$K$12</f>
        <v>0</v>
      </c>
      <c r="L205" s="40">
        <f>[4]KIOSKO!$K$13</f>
        <v>0</v>
      </c>
      <c r="M205" s="40">
        <f>[4]KIOSKO!$K$14</f>
        <v>0</v>
      </c>
      <c r="N205" s="40">
        <f>[4]KIOSKO!$K$15</f>
        <v>0</v>
      </c>
      <c r="O205" s="40">
        <f>[4]KIOSKO!$K$16</f>
        <v>0</v>
      </c>
      <c r="P205" s="42">
        <f>SUM(Tabla6[[#This Row],[ENERO]:[DICIEMBRE]])</f>
        <v>0</v>
      </c>
      <c r="R205" s="48" t="s">
        <v>48</v>
      </c>
      <c r="S205" s="47">
        <v>1</v>
      </c>
      <c r="T205" s="49"/>
      <c r="U205" s="50">
        <f>[4]KIOSKO!$L$5</f>
        <v>0</v>
      </c>
      <c r="V205" s="50"/>
      <c r="W205" s="50"/>
      <c r="X205" s="50">
        <f>[4]KIOSKO!$L$8</f>
        <v>0</v>
      </c>
      <c r="Y205" s="50">
        <f>[4]KIOSKO!$L$9</f>
        <v>0</v>
      </c>
      <c r="Z205" s="50">
        <f>[4]KIOSKO!$L$10</f>
        <v>0</v>
      </c>
      <c r="AA205" s="50">
        <f>[4]KIOSKO!$L$11</f>
        <v>0</v>
      </c>
      <c r="AB205" s="53">
        <v>0</v>
      </c>
      <c r="AC205" s="50">
        <f>[4]KIOSKO!$L$13</f>
        <v>0</v>
      </c>
      <c r="AD205" s="53">
        <v>0</v>
      </c>
      <c r="AE205" s="50">
        <f>[4]KIOSKO!$L$15</f>
        <v>0</v>
      </c>
      <c r="AF205" s="50">
        <f>[4]KIOSKO!$L$16</f>
        <v>0</v>
      </c>
      <c r="AG205" s="52">
        <f>SUM(Tabla63[[#This Row],[ENERO]:[DICIEMBRE]])</f>
        <v>0</v>
      </c>
      <c r="AI205" s="48" t="s">
        <v>48</v>
      </c>
      <c r="AJ205" s="47">
        <v>1</v>
      </c>
      <c r="AK205" s="49"/>
      <c r="AL205" s="170">
        <v>0</v>
      </c>
      <c r="AM205" s="170">
        <v>0</v>
      </c>
      <c r="AN205" s="170">
        <v>0</v>
      </c>
      <c r="AO205" s="50"/>
      <c r="AP205" s="170">
        <v>0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>
        <v>0</v>
      </c>
      <c r="AW205" s="50">
        <v>0</v>
      </c>
      <c r="AX205" s="45">
        <f>SUM(Tabla634[[#This Row],[ENERO]:[DICIEMBRE]])</f>
        <v>0</v>
      </c>
    </row>
    <row r="206" spans="1:50">
      <c r="A206" s="95" t="s">
        <v>124</v>
      </c>
      <c r="B206" s="94"/>
      <c r="C206" s="41"/>
      <c r="D206" s="42">
        <f>SUBTOTAL(109,Tabla6[ENERO])</f>
        <v>10719235</v>
      </c>
      <c r="E206" s="42">
        <f>SUBTOTAL(109,Tabla6[FEBRERO])</f>
        <v>17181265</v>
      </c>
      <c r="F206" s="42">
        <f>SUBTOTAL(109,Tabla6[MARZO])</f>
        <v>0</v>
      </c>
      <c r="G206" s="42">
        <f>SUBTOTAL(109,Tabla6[ABRIL])</f>
        <v>0</v>
      </c>
      <c r="H206" s="42">
        <f>SUBTOTAL(109,Tabla6[MAYO])</f>
        <v>0</v>
      </c>
      <c r="I206" s="42">
        <f>SUBTOTAL(109,Tabla6[JUNIO])</f>
        <v>0</v>
      </c>
      <c r="J206" s="42">
        <f>SUBTOTAL(109,Tabla6[JULIO])</f>
        <v>0</v>
      </c>
      <c r="K206" s="42">
        <f>SUBTOTAL(109,Tabla6[AGOSTO])</f>
        <v>0</v>
      </c>
      <c r="L206" s="42">
        <f>SUBTOTAL(109,Tabla6[SEPTIEMBRE])</f>
        <v>0</v>
      </c>
      <c r="M206" s="42">
        <f>SUBTOTAL(109,Tabla6[OCTUBRE])</f>
        <v>0</v>
      </c>
      <c r="N206" s="42">
        <f>SUBTOTAL(109,Tabla6[NOVIEMBRE])</f>
        <v>0</v>
      </c>
      <c r="O206" s="42">
        <f>SUBTOTAL(109,Tabla6[DICIEMBRE])</f>
        <v>0</v>
      </c>
      <c r="P206" s="42"/>
      <c r="R206" s="97" t="s">
        <v>124</v>
      </c>
      <c r="S206" s="96"/>
      <c r="T206" s="96"/>
      <c r="U206" s="164">
        <f>SUBTOTAL(109,Tabla63[ENERO])</f>
        <v>15510435</v>
      </c>
      <c r="V206" s="96">
        <f>SUBTOTAL(109,Tabla63[FEBRERO])</f>
        <v>9265750</v>
      </c>
      <c r="W206" s="96">
        <f>SUBTOTAL(109,Tabla63[MARZO])</f>
        <v>0</v>
      </c>
      <c r="X206" s="96">
        <v>0</v>
      </c>
      <c r="Y206" s="96">
        <f>SUBTOTAL(109,Tabla63[MAYO])</f>
        <v>0</v>
      </c>
      <c r="Z206" s="96">
        <f>SUBTOTAL(109,Tabla63[JUNIO])</f>
        <v>0</v>
      </c>
      <c r="AA206" s="96">
        <f>SUBTOTAL(109,Tabla63[JULIO])</f>
        <v>0</v>
      </c>
      <c r="AB206" s="96">
        <f>SUBTOTAL(109,Tabla63[AGOSTO])</f>
        <v>0</v>
      </c>
      <c r="AC206" s="96">
        <f>SUBTOTAL(109,Tabla63[SEPTIEMBRE])</f>
        <v>0</v>
      </c>
      <c r="AD206" s="96">
        <f>SUBTOTAL(109,Tabla63[OCTUBRE])</f>
        <v>0</v>
      </c>
      <c r="AE206" s="96">
        <f>SUBTOTAL(109,Tabla63[NOVIEMBRE])</f>
        <v>0</v>
      </c>
      <c r="AF206" s="96">
        <f>SUBTOTAL(109,Tabla63[DICIEMBRE])</f>
        <v>0</v>
      </c>
      <c r="AG206" s="96"/>
      <c r="AI206" s="409"/>
      <c r="AJ206" s="410"/>
      <c r="AK206" s="411"/>
      <c r="AL206" s="412"/>
      <c r="AM206" s="170"/>
      <c r="AN206" s="413"/>
      <c r="AO206" s="412"/>
      <c r="AP206" s="170">
        <v>0</v>
      </c>
      <c r="AQ206" s="414"/>
      <c r="AR206" s="412"/>
      <c r="AS206" s="412"/>
      <c r="AT206" s="412"/>
      <c r="AU206" s="50">
        <v>0</v>
      </c>
      <c r="AV206" s="50">
        <v>0</v>
      </c>
      <c r="AW206" s="50">
        <v>0</v>
      </c>
      <c r="AX206" s="80">
        <f>SUM(Tabla634[[#This Row],[ENERO]:[DICIEMBRE]])</f>
        <v>0</v>
      </c>
    </row>
    <row r="207" spans="1:50">
      <c r="AI207" s="44" t="s">
        <v>124</v>
      </c>
      <c r="AJ207" s="45"/>
      <c r="AK207" s="45"/>
      <c r="AL207" s="415">
        <f>SUBTOTAL(109,Tabla634[ENERO])</f>
        <v>29674815</v>
      </c>
      <c r="AM207" s="45">
        <f>SUBTOTAL(109,Tabla634[FEBRERO])</f>
        <v>30038615</v>
      </c>
      <c r="AN207" s="45">
        <f>SUBTOTAL(109,Tabla634[MARZO])</f>
        <v>0</v>
      </c>
      <c r="AO207" s="45">
        <f>SUBTOTAL(109,Tabla634[ABRIL])</f>
        <v>0</v>
      </c>
      <c r="AP207" s="45">
        <f>SUBTOTAL(109,Tabla634[MAYO])</f>
        <v>0</v>
      </c>
      <c r="AQ207" s="45">
        <f>SUBTOTAL(109,Tabla634[JUNIO])</f>
        <v>0</v>
      </c>
      <c r="AR207" s="45">
        <f>SUBTOTAL(109,Tabla634[JULIO])</f>
        <v>0</v>
      </c>
      <c r="AS207" s="45">
        <f>SUBTOTAL(109,Tabla634[AGOSTO])</f>
        <v>0</v>
      </c>
      <c r="AT207" s="45">
        <f>SUBTOTAL(109,Tabla634[SEPTIEMBRE])</f>
        <v>0</v>
      </c>
      <c r="AU207" s="45">
        <f>SUBTOTAL(109,Tabla634[OCTUBRE])</f>
        <v>0</v>
      </c>
      <c r="AV207" s="45">
        <f>SUBTOTAL(109,Tabla634[NOVIEMBRE])</f>
        <v>0</v>
      </c>
      <c r="AW207" s="45">
        <f>SUBTOTAL(109,Tabla634[DICIEMBRE])</f>
        <v>0</v>
      </c>
      <c r="AX207" s="45"/>
    </row>
  </sheetData>
  <mergeCells count="3">
    <mergeCell ref="A2:P2"/>
    <mergeCell ref="R2:AG2"/>
    <mergeCell ref="AI2:AX2"/>
  </mergeCells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zoomScale="85" zoomScaleNormal="85" workbookViewId="0">
      <selection activeCell="E29" sqref="E29"/>
    </sheetView>
  </sheetViews>
  <sheetFormatPr baseColWidth="10" defaultRowHeight="15"/>
  <cols>
    <col min="1" max="1" width="21.7109375" bestFit="1" customWidth="1"/>
    <col min="2" max="2" width="24.7109375" bestFit="1" customWidth="1"/>
    <col min="3" max="3" width="13.42578125" bestFit="1" customWidth="1"/>
    <col min="5" max="5" width="11.42578125" customWidth="1"/>
    <col min="7" max="7" width="11.42578125" customWidth="1"/>
    <col min="12" max="12" width="14" customWidth="1"/>
    <col min="14" max="14" width="14" customWidth="1"/>
    <col min="15" max="15" width="12.85546875" customWidth="1"/>
    <col min="27" max="27" width="16.140625" bestFit="1" customWidth="1"/>
    <col min="28" max="28" width="20.5703125" bestFit="1" customWidth="1"/>
    <col min="29" max="29" width="19.85546875" bestFit="1" customWidth="1"/>
  </cols>
  <sheetData>
    <row r="1" spans="1:29" s="73" customFormat="1" ht="31.5">
      <c r="A1" s="71"/>
      <c r="B1" s="70"/>
      <c r="C1" s="59"/>
      <c r="D1" s="448" t="s">
        <v>75</v>
      </c>
      <c r="E1" s="448"/>
      <c r="F1" s="448" t="s">
        <v>76</v>
      </c>
      <c r="G1" s="448"/>
      <c r="H1" s="448" t="s">
        <v>77</v>
      </c>
      <c r="I1" s="448"/>
      <c r="J1" s="448" t="s">
        <v>78</v>
      </c>
      <c r="K1" s="448"/>
      <c r="L1" s="448" t="s">
        <v>79</v>
      </c>
      <c r="M1" s="448"/>
      <c r="N1" s="448" t="s">
        <v>80</v>
      </c>
      <c r="O1" s="448"/>
      <c r="P1" s="448" t="s">
        <v>81</v>
      </c>
      <c r="Q1" s="448"/>
      <c r="R1" s="448" t="s">
        <v>82</v>
      </c>
      <c r="S1" s="448"/>
      <c r="T1" s="448" t="s">
        <v>83</v>
      </c>
      <c r="U1" s="448"/>
      <c r="V1" s="448" t="s">
        <v>84</v>
      </c>
      <c r="W1" s="448"/>
      <c r="X1" s="448" t="s">
        <v>85</v>
      </c>
      <c r="Y1" s="448"/>
      <c r="Z1" s="448" t="s">
        <v>86</v>
      </c>
      <c r="AA1" s="448"/>
      <c r="AB1" s="72"/>
      <c r="AC1" s="59"/>
    </row>
    <row r="2" spans="1:29">
      <c r="A2" s="74" t="s">
        <v>59</v>
      </c>
      <c r="B2" s="74" t="s">
        <v>60</v>
      </c>
      <c r="C2" s="56" t="s">
        <v>61</v>
      </c>
      <c r="D2" s="61" t="s">
        <v>63</v>
      </c>
      <c r="E2" s="60" t="s">
        <v>64</v>
      </c>
      <c r="F2" s="58" t="s">
        <v>65</v>
      </c>
      <c r="G2" s="58" t="s">
        <v>66</v>
      </c>
      <c r="H2" s="58" t="s">
        <v>67</v>
      </c>
      <c r="I2" s="58" t="s">
        <v>68</v>
      </c>
      <c r="J2" s="58" t="s">
        <v>69</v>
      </c>
      <c r="K2" s="58" t="s">
        <v>70</v>
      </c>
      <c r="L2" s="58" t="s">
        <v>71</v>
      </c>
      <c r="M2" s="58" t="s">
        <v>72</v>
      </c>
      <c r="N2" s="58" t="s">
        <v>73</v>
      </c>
      <c r="O2" s="58" t="s">
        <v>74</v>
      </c>
      <c r="P2" s="58" t="s">
        <v>87</v>
      </c>
      <c r="Q2" s="58" t="s">
        <v>88</v>
      </c>
      <c r="R2" s="58" t="s">
        <v>89</v>
      </c>
      <c r="S2" s="58" t="s">
        <v>90</v>
      </c>
      <c r="T2" s="58" t="s">
        <v>91</v>
      </c>
      <c r="U2" s="58" t="s">
        <v>92</v>
      </c>
      <c r="V2" s="58" t="s">
        <v>93</v>
      </c>
      <c r="W2" s="58" t="s">
        <v>94</v>
      </c>
      <c r="X2" s="58" t="s">
        <v>95</v>
      </c>
      <c r="Y2" s="58" t="s">
        <v>96</v>
      </c>
      <c r="Z2" s="58" t="s">
        <v>97</v>
      </c>
      <c r="AA2" s="58" t="s">
        <v>98</v>
      </c>
      <c r="AB2" s="58" t="s">
        <v>101</v>
      </c>
      <c r="AC2" s="59" t="s">
        <v>108</v>
      </c>
    </row>
    <row r="3" spans="1:29" s="66" customFormat="1">
      <c r="A3" s="69" t="s">
        <v>99</v>
      </c>
      <c r="B3" s="69" t="s">
        <v>24</v>
      </c>
      <c r="C3" s="62" t="s">
        <v>62</v>
      </c>
      <c r="D3" s="63">
        <v>30000</v>
      </c>
      <c r="E3" s="63">
        <v>30000</v>
      </c>
      <c r="F3" s="63">
        <v>30000</v>
      </c>
      <c r="G3" s="63">
        <v>30000</v>
      </c>
      <c r="H3" s="63"/>
      <c r="I3" s="64"/>
      <c r="J3" s="63"/>
      <c r="K3" s="64"/>
      <c r="L3" s="63"/>
      <c r="M3" s="64"/>
      <c r="N3" s="63"/>
      <c r="O3" s="64"/>
      <c r="P3" s="63"/>
      <c r="Q3" s="64"/>
      <c r="R3" s="63"/>
      <c r="S3" s="64"/>
      <c r="T3" s="63"/>
      <c r="U3" s="64"/>
      <c r="V3" s="63"/>
      <c r="W3" s="64"/>
      <c r="X3" s="63"/>
      <c r="Y3" s="64"/>
      <c r="Z3" s="63"/>
      <c r="AA3" s="64"/>
      <c r="AB3" s="64"/>
      <c r="AC3" s="65">
        <f>SUM(Tabla4[[#This Row],[ene-01]:[AGUINALDO]])</f>
        <v>120000</v>
      </c>
    </row>
    <row r="4" spans="1:29" s="66" customFormat="1">
      <c r="A4" s="69" t="s">
        <v>99</v>
      </c>
      <c r="B4" s="69" t="s">
        <v>23</v>
      </c>
      <c r="C4" s="62" t="s">
        <v>62</v>
      </c>
      <c r="D4" s="63">
        <v>30000</v>
      </c>
      <c r="E4" s="63">
        <v>30000</v>
      </c>
      <c r="F4" s="63">
        <v>30000</v>
      </c>
      <c r="G4" s="63">
        <v>30000</v>
      </c>
      <c r="H4" s="63"/>
      <c r="I4" s="64"/>
      <c r="J4" s="63"/>
      <c r="K4" s="64"/>
      <c r="L4" s="63"/>
      <c r="M4" s="64"/>
      <c r="N4" s="63"/>
      <c r="O4" s="64"/>
      <c r="P4" s="63"/>
      <c r="Q4" s="64"/>
      <c r="R4" s="63"/>
      <c r="S4" s="64"/>
      <c r="T4" s="63"/>
      <c r="U4" s="64"/>
      <c r="V4" s="63"/>
      <c r="W4" s="64"/>
      <c r="X4" s="63"/>
      <c r="Y4" s="64"/>
      <c r="Z4" s="63"/>
      <c r="AA4" s="64"/>
      <c r="AB4" s="64"/>
      <c r="AC4" s="65">
        <f>SUM(Tabla4[[#This Row],[ene-01]:[AGUINALDO]])</f>
        <v>120000</v>
      </c>
    </row>
    <row r="5" spans="1:29" s="66" customFormat="1">
      <c r="A5" s="69" t="s">
        <v>99</v>
      </c>
      <c r="B5" s="69" t="s">
        <v>22</v>
      </c>
      <c r="C5" s="62" t="s">
        <v>62</v>
      </c>
      <c r="D5" s="63">
        <v>30000</v>
      </c>
      <c r="E5" s="63">
        <v>30000</v>
      </c>
      <c r="F5" s="63"/>
      <c r="G5" s="63"/>
      <c r="H5" s="63"/>
      <c r="I5" s="64"/>
      <c r="J5" s="63"/>
      <c r="K5" s="64"/>
      <c r="L5" s="63"/>
      <c r="M5" s="64"/>
      <c r="N5" s="63"/>
      <c r="O5" s="64"/>
      <c r="P5" s="63"/>
      <c r="Q5" s="64"/>
      <c r="R5" s="63"/>
      <c r="S5" s="64"/>
      <c r="T5" s="63"/>
      <c r="U5" s="64"/>
      <c r="V5" s="63"/>
      <c r="W5" s="64"/>
      <c r="X5" s="63"/>
      <c r="Y5" s="64"/>
      <c r="Z5" s="63"/>
      <c r="AA5" s="64"/>
      <c r="AB5" s="64"/>
      <c r="AC5" s="65">
        <f>SUM(Tabla4[[#This Row],[ene-01]:[AGUINALDO]])</f>
        <v>60000</v>
      </c>
    </row>
    <row r="6" spans="1:29" s="66" customFormat="1">
      <c r="A6" s="69" t="s">
        <v>99</v>
      </c>
      <c r="B6" s="69" t="s">
        <v>21</v>
      </c>
      <c r="C6" s="62" t="s">
        <v>62</v>
      </c>
      <c r="D6" s="63">
        <v>30000</v>
      </c>
      <c r="E6" s="63">
        <v>30000</v>
      </c>
      <c r="F6" s="63">
        <v>30000</v>
      </c>
      <c r="G6" s="63">
        <v>30000</v>
      </c>
      <c r="H6" s="63"/>
      <c r="I6" s="64"/>
      <c r="J6" s="63"/>
      <c r="K6" s="64"/>
      <c r="L6" s="63"/>
      <c r="M6" s="64"/>
      <c r="N6" s="63"/>
      <c r="O6" s="64"/>
      <c r="P6" s="63"/>
      <c r="Q6" s="64"/>
      <c r="R6" s="63"/>
      <c r="S6" s="64"/>
      <c r="T6" s="63"/>
      <c r="U6" s="64"/>
      <c r="V6" s="63"/>
      <c r="W6" s="64"/>
      <c r="X6" s="63"/>
      <c r="Y6" s="64"/>
      <c r="Z6" s="63"/>
      <c r="AA6" s="64"/>
      <c r="AB6" s="64"/>
      <c r="AC6" s="65">
        <f>SUM(Tabla4[[#This Row],[ene-01]:[AGUINALDO]])</f>
        <v>120000</v>
      </c>
    </row>
    <row r="7" spans="1:29" s="66" customFormat="1">
      <c r="A7" s="69" t="s">
        <v>99</v>
      </c>
      <c r="B7" s="69" t="s">
        <v>20</v>
      </c>
      <c r="C7" s="67" t="s">
        <v>62</v>
      </c>
      <c r="D7" s="63">
        <v>30000</v>
      </c>
      <c r="E7" s="63">
        <v>30000</v>
      </c>
      <c r="F7" s="63">
        <v>30000</v>
      </c>
      <c r="G7" s="63">
        <v>30000</v>
      </c>
      <c r="H7" s="63"/>
      <c r="I7" s="64"/>
      <c r="J7" s="63"/>
      <c r="K7" s="64"/>
      <c r="L7" s="63"/>
      <c r="M7" s="64"/>
      <c r="N7" s="63"/>
      <c r="O7" s="64"/>
      <c r="P7" s="63"/>
      <c r="Q7" s="64"/>
      <c r="R7" s="63"/>
      <c r="S7" s="64"/>
      <c r="T7" s="63"/>
      <c r="U7" s="64"/>
      <c r="V7" s="63"/>
      <c r="W7" s="64"/>
      <c r="X7" s="63"/>
      <c r="Y7" s="64"/>
      <c r="Z7" s="63"/>
      <c r="AA7" s="64"/>
      <c r="AB7" s="64"/>
      <c r="AC7" s="65">
        <f>SUM(Tabla4[[#This Row],[ene-01]:[AGUINALDO]])</f>
        <v>120000</v>
      </c>
    </row>
    <row r="8" spans="1:29" s="66" customFormat="1">
      <c r="A8" s="57" t="s">
        <v>100</v>
      </c>
      <c r="B8" s="75" t="s">
        <v>18</v>
      </c>
      <c r="C8" s="55" t="s">
        <v>62</v>
      </c>
      <c r="D8" s="63">
        <v>30000</v>
      </c>
      <c r="E8" s="63">
        <v>30000</v>
      </c>
      <c r="F8" s="63"/>
      <c r="G8" s="63"/>
      <c r="H8" s="63"/>
      <c r="I8" s="64"/>
      <c r="J8" s="63"/>
      <c r="K8" s="64"/>
      <c r="L8" s="63"/>
      <c r="M8" s="64"/>
      <c r="N8" s="63"/>
      <c r="O8" s="64"/>
      <c r="P8" s="63"/>
      <c r="Q8" s="64"/>
      <c r="R8" s="63"/>
      <c r="S8" s="64"/>
      <c r="T8" s="63"/>
      <c r="U8" s="64"/>
      <c r="V8" s="63"/>
      <c r="W8" s="64"/>
      <c r="X8" s="63"/>
      <c r="Y8" s="64"/>
      <c r="Z8" s="63"/>
      <c r="AA8" s="64"/>
      <c r="AB8" s="64"/>
      <c r="AC8" s="65">
        <f>SUM(Tabla4[[#This Row],[ene-01]:[AGUINALDO]])</f>
        <v>60000</v>
      </c>
    </row>
    <row r="9" spans="1:29">
      <c r="A9" s="57" t="s">
        <v>100</v>
      </c>
      <c r="B9" s="75" t="s">
        <v>17</v>
      </c>
      <c r="C9" s="55" t="s">
        <v>62</v>
      </c>
      <c r="D9" s="63">
        <v>30000</v>
      </c>
      <c r="E9" s="63">
        <v>30000</v>
      </c>
      <c r="F9" s="63">
        <v>30000</v>
      </c>
      <c r="G9" s="63">
        <v>30000</v>
      </c>
      <c r="H9" s="63"/>
      <c r="I9" s="64"/>
      <c r="J9" s="63"/>
      <c r="K9" s="64"/>
      <c r="L9" s="63"/>
      <c r="M9" s="64"/>
      <c r="N9" s="63"/>
      <c r="O9" s="64"/>
      <c r="P9" s="63"/>
      <c r="Q9" s="64"/>
      <c r="R9" s="63"/>
      <c r="S9" s="64"/>
      <c r="T9" s="63"/>
      <c r="U9" s="64"/>
      <c r="V9" s="63"/>
      <c r="W9" s="64"/>
      <c r="X9" s="63"/>
      <c r="Y9" s="64"/>
      <c r="Z9" s="63"/>
      <c r="AA9" s="64"/>
      <c r="AC9" s="65">
        <f>SUM(Tabla4[[#This Row],[ene-01]:[AGUINALDO]])</f>
        <v>120000</v>
      </c>
    </row>
    <row r="10" spans="1:29">
      <c r="A10" s="57" t="s">
        <v>100</v>
      </c>
      <c r="B10" s="75" t="s">
        <v>16</v>
      </c>
      <c r="C10" s="55" t="s">
        <v>62</v>
      </c>
      <c r="D10" s="63">
        <v>30000</v>
      </c>
      <c r="E10" s="63">
        <v>30000</v>
      </c>
      <c r="F10" s="63">
        <v>30000</v>
      </c>
      <c r="G10" s="63">
        <v>30000</v>
      </c>
      <c r="H10" s="63"/>
      <c r="I10" s="64"/>
      <c r="J10" s="63"/>
      <c r="K10" s="64"/>
      <c r="L10" s="63"/>
      <c r="M10" s="64"/>
      <c r="N10" s="63"/>
      <c r="O10" s="64"/>
      <c r="P10" s="63"/>
      <c r="Q10" s="64"/>
      <c r="R10" s="63"/>
      <c r="S10" s="64"/>
      <c r="T10" s="63"/>
      <c r="U10" s="64"/>
      <c r="V10" s="63"/>
      <c r="W10" s="64"/>
      <c r="X10" s="63"/>
      <c r="Y10" s="64"/>
      <c r="Z10" s="63"/>
      <c r="AA10" s="64"/>
      <c r="AC10" s="65">
        <f>SUM(Tabla4[[#This Row],[ene-01]:[AGUINALDO]])</f>
        <v>120000</v>
      </c>
    </row>
    <row r="11" spans="1:29">
      <c r="A11" s="57" t="s">
        <v>100</v>
      </c>
      <c r="B11" s="75" t="s">
        <v>15</v>
      </c>
      <c r="C11" s="55" t="s">
        <v>62</v>
      </c>
      <c r="D11" s="63">
        <v>30000</v>
      </c>
      <c r="E11" s="63">
        <v>30000</v>
      </c>
      <c r="F11" s="63">
        <v>30000</v>
      </c>
      <c r="G11" s="63">
        <v>30000</v>
      </c>
      <c r="H11" s="63"/>
      <c r="I11" s="64"/>
      <c r="J11" s="63"/>
      <c r="K11" s="64"/>
      <c r="L11" s="63"/>
      <c r="M11" s="64"/>
      <c r="N11" s="63"/>
      <c r="O11" s="64"/>
      <c r="P11" s="63"/>
      <c r="Q11" s="64"/>
      <c r="R11" s="63"/>
      <c r="S11" s="64"/>
      <c r="T11" s="63"/>
      <c r="U11" s="64"/>
      <c r="V11" s="63"/>
      <c r="W11" s="64"/>
      <c r="X11" s="63"/>
      <c r="Y11" s="64"/>
      <c r="Z11" s="63"/>
      <c r="AA11" s="64"/>
      <c r="AC11" s="65">
        <f>SUM(Tabla4[[#This Row],[ene-01]:[AGUINALDO]])</f>
        <v>120000</v>
      </c>
    </row>
    <row r="12" spans="1:29">
      <c r="A12" s="57" t="s">
        <v>102</v>
      </c>
      <c r="B12" s="75" t="s">
        <v>14</v>
      </c>
      <c r="C12" s="55" t="s">
        <v>62</v>
      </c>
      <c r="D12" s="63">
        <v>40000</v>
      </c>
      <c r="E12" s="63">
        <v>40000</v>
      </c>
      <c r="F12" s="63">
        <v>40000</v>
      </c>
      <c r="G12" s="63">
        <v>40000</v>
      </c>
      <c r="H12" s="63"/>
      <c r="I12" s="64"/>
      <c r="J12" s="63"/>
      <c r="K12" s="64"/>
      <c r="L12" s="63"/>
      <c r="M12" s="64"/>
      <c r="N12" s="63"/>
      <c r="O12" s="64"/>
      <c r="P12" s="63"/>
      <c r="Q12" s="64"/>
      <c r="R12" s="63"/>
      <c r="S12" s="64"/>
      <c r="T12" s="63"/>
      <c r="U12" s="64"/>
      <c r="V12" s="63"/>
      <c r="W12" s="64"/>
      <c r="X12" s="63"/>
      <c r="Y12" s="64"/>
      <c r="Z12" s="63"/>
      <c r="AA12" s="64"/>
      <c r="AC12" s="65">
        <f>SUM(Tabla4[[#This Row],[ene-01]:[AGUINALDO]])</f>
        <v>160000</v>
      </c>
    </row>
    <row r="13" spans="1:29">
      <c r="A13" s="55" t="s">
        <v>102</v>
      </c>
      <c r="B13" s="75" t="s">
        <v>13</v>
      </c>
      <c r="C13" s="55" t="s">
        <v>62</v>
      </c>
      <c r="D13" s="63"/>
      <c r="E13" s="63"/>
      <c r="F13" s="63"/>
      <c r="G13" s="63"/>
      <c r="H13" s="63"/>
      <c r="I13" s="64"/>
      <c r="J13" s="63"/>
      <c r="K13" s="64"/>
      <c r="L13" s="63"/>
      <c r="M13" s="64"/>
      <c r="N13" s="63"/>
      <c r="O13" s="64"/>
      <c r="P13" s="63"/>
      <c r="Q13" s="64"/>
      <c r="R13" s="63"/>
      <c r="S13" s="64"/>
      <c r="T13" s="63"/>
      <c r="U13" s="64"/>
      <c r="V13" s="63"/>
      <c r="W13" s="64"/>
      <c r="X13" s="63"/>
      <c r="Y13" s="64"/>
      <c r="Z13" s="63"/>
      <c r="AA13" s="64"/>
      <c r="AC13" s="65">
        <f>SUM(Tabla4[[#This Row],[ene-01]:[AGUINALDO]])</f>
        <v>0</v>
      </c>
    </row>
    <row r="14" spans="1:29">
      <c r="A14" s="55" t="s">
        <v>102</v>
      </c>
      <c r="B14" s="75" t="s">
        <v>103</v>
      </c>
      <c r="C14" s="55" t="s">
        <v>62</v>
      </c>
      <c r="D14" s="63"/>
      <c r="E14" s="63"/>
      <c r="F14" s="63"/>
      <c r="G14" s="63"/>
      <c r="H14" s="63"/>
      <c r="I14" s="64"/>
      <c r="J14" s="63"/>
      <c r="K14" s="64"/>
      <c r="L14" s="63"/>
      <c r="M14" s="64"/>
      <c r="N14" s="63"/>
      <c r="O14" s="64"/>
      <c r="P14" s="63"/>
      <c r="Q14" s="64"/>
      <c r="R14" s="63"/>
      <c r="S14" s="64"/>
      <c r="T14" s="63"/>
      <c r="U14" s="64"/>
      <c r="V14" s="63"/>
      <c r="W14" s="64"/>
      <c r="X14" s="63"/>
      <c r="Y14" s="64"/>
      <c r="Z14" s="63"/>
      <c r="AA14" s="64"/>
      <c r="AC14" s="65">
        <f>SUM(Tabla4[[#This Row],[ene-01]:[AGUINALDO]])</f>
        <v>0</v>
      </c>
    </row>
    <row r="15" spans="1:29">
      <c r="A15" s="55" t="s">
        <v>102</v>
      </c>
      <c r="B15" s="75" t="s">
        <v>104</v>
      </c>
      <c r="C15" s="55" t="s">
        <v>62</v>
      </c>
      <c r="D15" s="63"/>
      <c r="E15" s="63"/>
      <c r="F15" s="63"/>
      <c r="G15" s="63"/>
      <c r="H15" s="63"/>
      <c r="I15" s="64"/>
      <c r="J15" s="63"/>
      <c r="K15" s="64"/>
      <c r="L15" s="63"/>
      <c r="M15" s="64"/>
      <c r="N15" s="63"/>
      <c r="O15" s="64"/>
      <c r="P15" s="63"/>
      <c r="Q15" s="64"/>
      <c r="R15" s="63"/>
      <c r="S15" s="64"/>
      <c r="T15" s="63"/>
      <c r="U15" s="64"/>
      <c r="V15" s="63"/>
      <c r="W15" s="64"/>
      <c r="X15" s="63"/>
      <c r="Y15" s="64"/>
      <c r="Z15" s="63"/>
      <c r="AA15" s="64"/>
      <c r="AC15" s="65">
        <f>SUM(Tabla4[[#This Row],[ene-01]:[AGUINALDO]])</f>
        <v>0</v>
      </c>
    </row>
    <row r="16" spans="1:29">
      <c r="A16" s="55" t="s">
        <v>102</v>
      </c>
      <c r="B16" s="75" t="s">
        <v>105</v>
      </c>
      <c r="C16" s="55" t="s">
        <v>62</v>
      </c>
      <c r="D16" s="63"/>
      <c r="E16" s="63"/>
      <c r="F16" s="63"/>
      <c r="G16" s="63"/>
      <c r="H16" s="63"/>
      <c r="I16" s="64"/>
      <c r="J16" s="63"/>
      <c r="K16" s="64"/>
      <c r="L16" s="63"/>
      <c r="M16" s="64"/>
      <c r="N16" s="63"/>
      <c r="O16" s="64"/>
      <c r="P16" s="63"/>
      <c r="Q16" s="64"/>
      <c r="R16" s="63"/>
      <c r="S16" s="64"/>
      <c r="T16" s="63"/>
      <c r="U16" s="64"/>
      <c r="V16" s="63"/>
      <c r="W16" s="64"/>
      <c r="X16" s="63"/>
      <c r="Y16" s="64"/>
      <c r="Z16" s="63"/>
      <c r="AA16" s="64"/>
      <c r="AC16" s="65">
        <f>SUM(Tabla4[[#This Row],[ene-01]:[AGUINALDO]])</f>
        <v>0</v>
      </c>
    </row>
    <row r="17" spans="1:29">
      <c r="A17" s="55" t="s">
        <v>102</v>
      </c>
      <c r="B17" s="75" t="s">
        <v>106</v>
      </c>
      <c r="C17" s="55" t="s">
        <v>62</v>
      </c>
      <c r="D17" s="63">
        <v>50000</v>
      </c>
      <c r="E17" s="63">
        <v>50000</v>
      </c>
      <c r="F17" s="63">
        <v>50000</v>
      </c>
      <c r="G17" s="63">
        <v>50000</v>
      </c>
      <c r="H17" s="63"/>
      <c r="I17" s="64"/>
      <c r="J17" s="63"/>
      <c r="K17" s="64"/>
      <c r="L17" s="63"/>
      <c r="M17" s="64"/>
      <c r="N17" s="63"/>
      <c r="O17" s="64"/>
      <c r="P17" s="63"/>
      <c r="Q17" s="64"/>
      <c r="R17" s="63"/>
      <c r="S17" s="64"/>
      <c r="T17" s="63"/>
      <c r="U17" s="64"/>
      <c r="V17" s="63"/>
      <c r="W17" s="64"/>
      <c r="X17" s="63"/>
      <c r="Y17" s="64"/>
      <c r="Z17" s="63"/>
      <c r="AA17" s="64"/>
      <c r="AC17" s="65">
        <f>SUM(Tabla4[[#This Row],[ene-01]:[AGUINALDO]])</f>
        <v>200000</v>
      </c>
    </row>
    <row r="18" spans="1:29">
      <c r="A18" s="55" t="s">
        <v>102</v>
      </c>
      <c r="B18" s="75" t="s">
        <v>107</v>
      </c>
      <c r="C18" s="55" t="s">
        <v>62</v>
      </c>
      <c r="D18" s="63">
        <v>30000</v>
      </c>
      <c r="E18" s="63">
        <v>30000</v>
      </c>
      <c r="F18" s="63">
        <v>30000</v>
      </c>
      <c r="G18" s="63">
        <v>30000</v>
      </c>
      <c r="H18" s="63"/>
      <c r="I18" s="64"/>
      <c r="J18" s="63"/>
      <c r="K18" s="64"/>
      <c r="L18" s="63"/>
      <c r="M18" s="64"/>
      <c r="N18" s="63"/>
      <c r="O18" s="64"/>
      <c r="P18" s="63"/>
      <c r="Q18" s="64"/>
      <c r="R18" s="63"/>
      <c r="S18" s="64"/>
      <c r="T18" s="63"/>
      <c r="U18" s="64"/>
      <c r="V18" s="63"/>
      <c r="W18" s="64"/>
      <c r="X18" s="63"/>
      <c r="Y18" s="64"/>
      <c r="Z18" s="63"/>
      <c r="AA18" s="64"/>
      <c r="AC18" s="65">
        <f>SUM(Tabla4[[#This Row],[ene-01]:[AGUINALDO]])</f>
        <v>120000</v>
      </c>
    </row>
    <row r="19" spans="1:29">
      <c r="A19" s="55" t="s">
        <v>110</v>
      </c>
      <c r="B19" s="75" t="s">
        <v>109</v>
      </c>
      <c r="C19" s="55" t="s">
        <v>111</v>
      </c>
      <c r="D19" s="63">
        <v>30000</v>
      </c>
      <c r="E19" s="63">
        <v>30000</v>
      </c>
      <c r="F19" s="63">
        <v>30000</v>
      </c>
      <c r="G19" s="63">
        <v>30000</v>
      </c>
      <c r="H19" s="63"/>
      <c r="I19" s="68"/>
      <c r="J19" s="63"/>
      <c r="K19" s="68"/>
      <c r="L19" s="63"/>
      <c r="M19" s="68"/>
      <c r="N19" s="63"/>
      <c r="O19" s="68"/>
      <c r="P19" s="63"/>
      <c r="Q19" s="68"/>
      <c r="R19" s="63"/>
      <c r="S19" s="68"/>
      <c r="T19" s="63"/>
      <c r="U19" s="68"/>
      <c r="V19" s="63"/>
      <c r="W19" s="68"/>
      <c r="X19" s="63"/>
      <c r="Y19" s="68"/>
      <c r="Z19" s="63"/>
      <c r="AA19" s="64"/>
      <c r="AC19" s="65"/>
    </row>
    <row r="20" spans="1:29">
      <c r="A20" s="55" t="s">
        <v>110</v>
      </c>
      <c r="B20" s="75"/>
      <c r="C20" s="55" t="s">
        <v>111</v>
      </c>
      <c r="D20" s="63"/>
      <c r="E20" s="68"/>
      <c r="F20" s="63"/>
      <c r="G20" s="68"/>
      <c r="H20" s="63"/>
      <c r="I20" s="68"/>
      <c r="J20" s="63"/>
      <c r="K20" s="68"/>
      <c r="L20" s="63"/>
      <c r="M20" s="68"/>
      <c r="N20" s="63"/>
      <c r="O20" s="68"/>
      <c r="P20" s="63"/>
      <c r="Q20" s="68"/>
      <c r="R20" s="63"/>
      <c r="S20" s="68"/>
      <c r="T20" s="63"/>
      <c r="U20" s="68"/>
      <c r="V20" s="63"/>
      <c r="W20" s="68"/>
      <c r="X20" s="63"/>
      <c r="Y20" s="68"/>
      <c r="Z20" s="63"/>
      <c r="AA20" s="64"/>
      <c r="AC20" s="65"/>
    </row>
    <row r="21" spans="1:29">
      <c r="A21" s="167"/>
      <c r="B21" s="168" t="s">
        <v>27</v>
      </c>
      <c r="C21" s="168"/>
      <c r="D21" s="169">
        <f>SUBTOTAL(109,Tabla4[ene-01])</f>
        <v>420000</v>
      </c>
      <c r="E21" s="169">
        <f>SUBTOTAL(109,Tabla4[ene-02])</f>
        <v>420000</v>
      </c>
      <c r="F21" s="169">
        <f>SUBTOTAL(109,Tabla4[feb-01])</f>
        <v>360000</v>
      </c>
      <c r="G21" s="169">
        <f>SUBTOTAL(109,Tabla4[feb-02])</f>
        <v>360000</v>
      </c>
      <c r="H21" s="169">
        <f>SUBTOTAL(109,Tabla4[mar-01])</f>
        <v>0</v>
      </c>
      <c r="I21" s="169">
        <f>SUBTOTAL(109,Tabla4[mar-02])</f>
        <v>0</v>
      </c>
      <c r="J21" s="169">
        <f>SUBTOTAL(109,Tabla4[abr-01])</f>
        <v>0</v>
      </c>
      <c r="K21" s="169">
        <f>SUBTOTAL(109,Tabla4[abr-02])</f>
        <v>0</v>
      </c>
      <c r="L21" s="169">
        <f>SUBTOTAL(109,Tabla4[may-01])</f>
        <v>0</v>
      </c>
      <c r="M21" s="169">
        <f>SUBTOTAL(109,Tabla4[may-02])</f>
        <v>0</v>
      </c>
      <c r="N21" s="169">
        <f>SUBTOTAL(109,Tabla4[jun-01])</f>
        <v>0</v>
      </c>
      <c r="O21" s="169">
        <f>SUBTOTAL(109,Tabla4[jun-02])</f>
        <v>0</v>
      </c>
      <c r="P21" s="169">
        <f>SUBTOTAL(109,Tabla4[jul-01])</f>
        <v>0</v>
      </c>
      <c r="Q21" s="169">
        <f>SUBTOTAL(109,Tabla4[jul-02])</f>
        <v>0</v>
      </c>
      <c r="R21" s="169">
        <f>SUBTOTAL(109,Tabla4[ago-01])</f>
        <v>0</v>
      </c>
      <c r="S21" s="169">
        <f>SUBTOTAL(109,Tabla4[ago-02])</f>
        <v>0</v>
      </c>
      <c r="T21" s="169">
        <f>SUBTOTAL(109,Tabla4[sept-01])</f>
        <v>0</v>
      </c>
      <c r="U21" s="169">
        <f>SUBTOTAL(109,Tabla4[sept-02])</f>
        <v>0</v>
      </c>
      <c r="V21" s="169">
        <f>SUBTOTAL(109,Tabla4[oct-01])</f>
        <v>0</v>
      </c>
      <c r="W21" s="169">
        <f>SUBTOTAL(109,Tabla4[oct-02])</f>
        <v>0</v>
      </c>
      <c r="X21" s="169">
        <f>SUBTOTAL(109,Tabla4[nov-01])</f>
        <v>0</v>
      </c>
      <c r="Y21" s="169">
        <f>SUBTOTAL(109,Tabla4[nov-02])</f>
        <v>0</v>
      </c>
      <c r="Z21" s="169">
        <f>SUBTOTAL(109,Tabla4[dic-01])</f>
        <v>0</v>
      </c>
      <c r="AA21" s="169">
        <f>SUBTOTAL(109,Tabla4[dic-02])</f>
        <v>0</v>
      </c>
      <c r="AB21" s="169">
        <f>SUBTOTAL(109,Tabla4[AGUINALDO])</f>
        <v>0</v>
      </c>
    </row>
  </sheetData>
  <mergeCells count="12"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000"/>
  <sheetViews>
    <sheetView zoomScale="60" zoomScaleNormal="60" workbookViewId="0">
      <selection activeCell="C36" sqref="C36"/>
    </sheetView>
  </sheetViews>
  <sheetFormatPr baseColWidth="10" defaultColWidth="14.42578125" defaultRowHeight="15" customHeight="1"/>
  <cols>
    <col min="1" max="1" width="27.140625" style="301" customWidth="1"/>
    <col min="2" max="2" width="18" style="301" bestFit="1" customWidth="1"/>
    <col min="3" max="3" width="16.140625" style="301" customWidth="1"/>
    <col min="4" max="4" width="12.5703125" style="301" customWidth="1"/>
    <col min="5" max="5" width="16.85546875" style="301" customWidth="1"/>
    <col min="6" max="6" width="13.5703125" style="301" bestFit="1" customWidth="1"/>
    <col min="7" max="7" width="12.5703125" style="301" customWidth="1"/>
    <col min="8" max="8" width="17.85546875" style="301" bestFit="1" customWidth="1"/>
    <col min="9" max="9" width="13.85546875" style="301" customWidth="1"/>
    <col min="10" max="10" width="12.5703125" style="301" customWidth="1"/>
    <col min="11" max="11" width="27.5703125" style="301" bestFit="1" customWidth="1"/>
    <col min="12" max="12" width="13.5703125" style="301" customWidth="1"/>
    <col min="13" max="16" width="12.5703125" style="301" customWidth="1"/>
    <col min="17" max="17" width="20.140625" style="301" customWidth="1"/>
    <col min="18" max="18" width="14.42578125" style="1" customWidth="1"/>
    <col min="19" max="19" width="12.5703125" style="1" customWidth="1"/>
    <col min="20" max="20" width="53.28515625" style="1" customWidth="1"/>
    <col min="21" max="21" width="20.140625" style="1" customWidth="1"/>
    <col min="22" max="22" width="16.42578125" style="1" customWidth="1"/>
    <col min="23" max="23" width="12.5703125" style="1" customWidth="1"/>
    <col min="24" max="24" width="17.28515625" style="1" customWidth="1"/>
    <col min="25" max="25" width="13.42578125" style="1" customWidth="1"/>
    <col min="26" max="26" width="12.5703125" style="1" customWidth="1"/>
    <col min="27" max="27" width="19" style="1" customWidth="1"/>
    <col min="28" max="28" width="13" style="1" customWidth="1"/>
    <col min="29" max="29" width="12.5703125" style="1" customWidth="1"/>
    <col min="30" max="30" width="29.5703125" style="1" bestFit="1" customWidth="1"/>
    <col min="31" max="35" width="12.5703125" style="1" customWidth="1"/>
    <col min="36" max="36" width="26.42578125" style="1" customWidth="1"/>
    <col min="37" max="38" width="12.5703125" style="1" customWidth="1"/>
    <col min="39" max="39" width="53.28515625" style="1" customWidth="1"/>
    <col min="40" max="40" width="17.85546875" style="1" bestFit="1" customWidth="1"/>
    <col min="41" max="41" width="19.5703125" style="1" customWidth="1"/>
    <col min="42" max="42" width="14.5703125" style="1" bestFit="1" customWidth="1"/>
    <col min="43" max="43" width="21.140625" style="1" customWidth="1"/>
    <col min="44" max="44" width="17.85546875" style="1" bestFit="1" customWidth="1"/>
    <col min="45" max="45" width="12.5703125" style="1" customWidth="1"/>
    <col min="46" max="46" width="15.140625" style="1" bestFit="1" customWidth="1"/>
    <col min="47" max="47" width="17.140625" style="1" bestFit="1" customWidth="1"/>
    <col min="48" max="48" width="12.5703125" style="1" customWidth="1"/>
    <col min="49" max="49" width="23.42578125" style="1" bestFit="1" customWidth="1"/>
    <col min="50" max="50" width="16.42578125" style="1" customWidth="1"/>
    <col min="51" max="52" width="12.5703125" style="1" customWidth="1"/>
    <col min="53" max="53" width="13.5703125" style="1" bestFit="1" customWidth="1"/>
    <col min="54" max="54" width="12.5703125" style="1" customWidth="1"/>
    <col min="55" max="55" width="22" style="1" customWidth="1"/>
    <col min="56" max="56" width="14.85546875" style="1" bestFit="1" customWidth="1"/>
    <col min="57" max="57" width="12.5703125" style="1" customWidth="1"/>
    <col min="58" max="58" width="53.28515625" style="1" customWidth="1"/>
    <col min="59" max="59" width="18.7109375" style="1" customWidth="1"/>
    <col min="60" max="60" width="17.140625" style="1" customWidth="1"/>
    <col min="61" max="61" width="12.5703125" style="1" customWidth="1"/>
    <col min="62" max="62" width="14.85546875" style="1" customWidth="1"/>
    <col min="63" max="63" width="17.42578125" style="1" customWidth="1"/>
    <col min="64" max="64" width="12.5703125" style="1" customWidth="1"/>
    <col min="65" max="65" width="21.28515625" style="1" bestFit="1" customWidth="1"/>
    <col min="66" max="66" width="15.85546875" style="1" customWidth="1"/>
    <col min="67" max="67" width="12.5703125" style="1" customWidth="1"/>
    <col min="68" max="68" width="21.7109375" style="1" bestFit="1" customWidth="1"/>
    <col min="69" max="69" width="16.85546875" style="1" customWidth="1"/>
    <col min="70" max="71" width="12.5703125" style="1" customWidth="1"/>
    <col min="72" max="72" width="14.85546875" style="1" customWidth="1"/>
    <col min="73" max="73" width="12.5703125" style="1" customWidth="1"/>
    <col min="74" max="74" width="19.5703125" style="1" customWidth="1"/>
    <col min="75" max="75" width="16.7109375" style="1" customWidth="1"/>
    <col min="76" max="76" width="12.5703125" style="1" customWidth="1"/>
    <col min="77" max="77" width="53.28515625" style="1" customWidth="1"/>
    <col min="78" max="78" width="18.7109375" style="1" bestFit="1" customWidth="1"/>
    <col min="79" max="79" width="16.5703125" style="1" customWidth="1"/>
    <col min="80" max="80" width="12.5703125" style="1" customWidth="1"/>
    <col min="81" max="81" width="16.85546875" style="1" customWidth="1"/>
    <col min="82" max="82" width="17.42578125" style="1" bestFit="1" customWidth="1"/>
    <col min="83" max="83" width="12.5703125" style="1" customWidth="1"/>
    <col min="84" max="84" width="15.28515625" style="1" customWidth="1"/>
    <col min="85" max="85" width="16" style="1" bestFit="1" customWidth="1"/>
    <col min="86" max="86" width="12.5703125" style="1" customWidth="1"/>
    <col min="87" max="87" width="23.5703125" style="1" customWidth="1"/>
    <col min="88" max="88" width="16" style="1" bestFit="1" customWidth="1"/>
    <col min="89" max="90" width="12.5703125" style="1" customWidth="1"/>
    <col min="91" max="91" width="13.5703125" style="1" bestFit="1" customWidth="1"/>
    <col min="92" max="92" width="12.5703125" style="1" customWidth="1"/>
    <col min="93" max="93" width="21.42578125" style="1" customWidth="1"/>
    <col min="94" max="94" width="14.85546875" style="1" bestFit="1" customWidth="1"/>
    <col min="95" max="95" width="12.5703125" style="1" customWidth="1"/>
    <col min="96" max="96" width="53.28515625" style="1" customWidth="1"/>
    <col min="97" max="97" width="18.28515625" style="1" customWidth="1"/>
    <col min="98" max="98" width="17.7109375" style="1" customWidth="1"/>
    <col min="99" max="99" width="12.5703125" style="1" customWidth="1"/>
    <col min="100" max="101" width="14" style="1" customWidth="1"/>
    <col min="102" max="102" width="12.5703125" style="1" customWidth="1"/>
    <col min="103" max="103" width="16.85546875" style="1" customWidth="1"/>
    <col min="104" max="104" width="14" style="1" customWidth="1"/>
    <col min="105" max="106" width="12.5703125" style="1" customWidth="1"/>
    <col min="107" max="107" width="14" style="1" customWidth="1"/>
    <col min="108" max="110" width="12.5703125" style="1" customWidth="1"/>
    <col min="111" max="111" width="17.42578125" style="201" bestFit="1" customWidth="1"/>
    <col min="112" max="112" width="12.5703125" style="201" customWidth="1"/>
    <col min="113" max="113" width="16" style="201" bestFit="1" customWidth="1"/>
    <col min="114" max="115" width="12.5703125" style="1" customWidth="1"/>
    <col min="116" max="116" width="25.42578125" style="1" customWidth="1"/>
    <col min="117" max="119" width="12.7109375" style="1" customWidth="1"/>
    <col min="120" max="122" width="13.85546875" style="1" customWidth="1"/>
    <col min="123" max="16384" width="14.42578125" style="1"/>
  </cols>
  <sheetData>
    <row r="1" spans="1:123" ht="15.75" thickBot="1">
      <c r="A1" s="3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1"/>
      <c r="S1" s="10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2"/>
      <c r="CN1" s="192"/>
      <c r="CO1" s="192"/>
      <c r="CP1" s="192"/>
      <c r="CQ1" s="192"/>
      <c r="CR1" s="192"/>
      <c r="CS1" s="192"/>
      <c r="CT1" s="192"/>
      <c r="CU1" s="192"/>
      <c r="CV1" s="192"/>
      <c r="CW1" s="192"/>
      <c r="CX1" s="192"/>
      <c r="CY1" s="192"/>
      <c r="CZ1" s="192"/>
      <c r="DA1" s="192"/>
      <c r="DB1" s="192"/>
      <c r="DC1" s="192"/>
      <c r="DD1" s="192"/>
      <c r="DE1" s="192"/>
      <c r="DF1" s="192"/>
      <c r="DG1" s="205"/>
      <c r="DH1" s="205"/>
      <c r="DI1" s="205"/>
      <c r="DJ1" s="192"/>
      <c r="DK1" s="192"/>
      <c r="DL1" s="192"/>
      <c r="DM1" s="192"/>
      <c r="DN1" s="192"/>
      <c r="DO1" s="192"/>
      <c r="DP1" s="192"/>
      <c r="DQ1" s="192"/>
      <c r="DR1" s="192"/>
      <c r="DS1" s="208"/>
    </row>
    <row r="2" spans="1:123" ht="24.75" customHeight="1">
      <c r="A2" s="245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7"/>
      <c r="Q2" s="247"/>
      <c r="R2" s="224"/>
      <c r="S2" s="10"/>
      <c r="T2" s="222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223"/>
      <c r="AJ2" s="223"/>
      <c r="AK2" s="224"/>
      <c r="AL2" s="192"/>
      <c r="AM2" s="222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223"/>
      <c r="BC2" s="223"/>
      <c r="BD2" s="224"/>
      <c r="BE2" s="192"/>
      <c r="BF2" s="222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223"/>
      <c r="BV2" s="223"/>
      <c r="BW2" s="224"/>
      <c r="BX2" s="192"/>
      <c r="BY2" s="222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223"/>
      <c r="CO2" s="223"/>
      <c r="CP2" s="224"/>
      <c r="CQ2" s="192"/>
      <c r="CR2" s="222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223"/>
      <c r="DH2" s="223"/>
      <c r="DI2" s="224"/>
      <c r="DJ2" s="192"/>
      <c r="DK2" s="192"/>
      <c r="DL2" s="192"/>
      <c r="DM2" s="192"/>
      <c r="DN2" s="192"/>
      <c r="DO2" s="192"/>
      <c r="DP2" s="192"/>
      <c r="DQ2" s="192"/>
      <c r="DR2" s="192"/>
      <c r="DS2" s="208"/>
    </row>
    <row r="3" spans="1:123" ht="21">
      <c r="A3" s="473" t="s">
        <v>11</v>
      </c>
      <c r="B3" s="474"/>
      <c r="C3" s="474"/>
      <c r="D3" s="474"/>
      <c r="E3" s="474"/>
      <c r="F3" s="474"/>
      <c r="G3" s="474"/>
      <c r="H3" s="159"/>
      <c r="I3" s="159"/>
      <c r="J3" s="159"/>
      <c r="K3" s="159"/>
      <c r="L3" s="159"/>
      <c r="M3" s="159"/>
      <c r="N3" s="159"/>
      <c r="O3" s="159"/>
      <c r="P3" s="248"/>
      <c r="Q3" s="248"/>
      <c r="R3" s="225"/>
      <c r="S3" s="10"/>
      <c r="T3" s="456"/>
      <c r="U3" s="457"/>
      <c r="V3" s="457"/>
      <c r="W3" s="457"/>
      <c r="X3" s="457"/>
      <c r="Y3" s="457"/>
      <c r="Z3" s="457"/>
      <c r="AA3" s="152"/>
      <c r="AB3" s="152"/>
      <c r="AC3" s="152"/>
      <c r="AD3" s="152"/>
      <c r="AE3" s="152"/>
      <c r="AF3" s="152"/>
      <c r="AG3" s="152"/>
      <c r="AH3" s="152"/>
      <c r="AI3" s="202"/>
      <c r="AJ3" s="202"/>
      <c r="AK3" s="225"/>
      <c r="AL3" s="192"/>
      <c r="AM3" s="456"/>
      <c r="AN3" s="457"/>
      <c r="AO3" s="457"/>
      <c r="AP3" s="457"/>
      <c r="AQ3" s="457"/>
      <c r="AR3" s="457"/>
      <c r="AS3" s="457"/>
      <c r="AT3" s="152"/>
      <c r="AU3" s="152"/>
      <c r="AV3" s="152"/>
      <c r="AW3" s="152"/>
      <c r="AX3" s="152"/>
      <c r="AY3" s="152"/>
      <c r="AZ3" s="152"/>
      <c r="BA3" s="152"/>
      <c r="BB3" s="202"/>
      <c r="BC3" s="202"/>
      <c r="BD3" s="225"/>
      <c r="BE3" s="192"/>
      <c r="BF3" s="456"/>
      <c r="BG3" s="457"/>
      <c r="BH3" s="457"/>
      <c r="BI3" s="457"/>
      <c r="BJ3" s="457"/>
      <c r="BK3" s="457"/>
      <c r="BL3" s="457"/>
      <c r="BM3" s="152"/>
      <c r="BN3" s="152"/>
      <c r="BO3" s="152"/>
      <c r="BP3" s="152"/>
      <c r="BQ3" s="152"/>
      <c r="BR3" s="152"/>
      <c r="BS3" s="152"/>
      <c r="BT3" s="152"/>
      <c r="BU3" s="202"/>
      <c r="BV3" s="202"/>
      <c r="BW3" s="225"/>
      <c r="BX3" s="192"/>
      <c r="BY3" s="456"/>
      <c r="BZ3" s="457"/>
      <c r="CA3" s="457"/>
      <c r="CB3" s="457"/>
      <c r="CC3" s="457"/>
      <c r="CD3" s="457"/>
      <c r="CE3" s="457"/>
      <c r="CF3" s="152"/>
      <c r="CG3" s="152"/>
      <c r="CH3" s="152"/>
      <c r="CI3" s="152"/>
      <c r="CJ3" s="152"/>
      <c r="CK3" s="152"/>
      <c r="CL3" s="152"/>
      <c r="CM3" s="152"/>
      <c r="CN3" s="202"/>
      <c r="CO3" s="202"/>
      <c r="CP3" s="225"/>
      <c r="CQ3" s="192"/>
      <c r="CR3" s="456"/>
      <c r="CS3" s="457"/>
      <c r="CT3" s="457"/>
      <c r="CU3" s="457"/>
      <c r="CV3" s="457"/>
      <c r="CW3" s="457"/>
      <c r="CX3" s="457"/>
      <c r="CY3" s="152"/>
      <c r="CZ3" s="152"/>
      <c r="DA3" s="152"/>
      <c r="DB3" s="152"/>
      <c r="DC3" s="152"/>
      <c r="DD3" s="152"/>
      <c r="DE3" s="152"/>
      <c r="DF3" s="152"/>
      <c r="DG3" s="202"/>
      <c r="DH3" s="202"/>
      <c r="DI3" s="225"/>
      <c r="DJ3" s="192"/>
      <c r="DK3" s="192"/>
      <c r="DL3" s="192"/>
      <c r="DM3" s="192"/>
      <c r="DN3" s="192"/>
      <c r="DO3" s="192"/>
      <c r="DP3" s="192"/>
      <c r="DQ3" s="192"/>
      <c r="DR3" s="192"/>
      <c r="DS3" s="208"/>
    </row>
    <row r="4" spans="1:123" ht="18.75">
      <c r="A4" s="464"/>
      <c r="B4" s="465"/>
      <c r="C4" s="465"/>
      <c r="D4" s="465"/>
      <c r="E4" s="465"/>
      <c r="F4" s="465"/>
      <c r="G4" s="465"/>
      <c r="H4" s="159"/>
      <c r="I4" s="159"/>
      <c r="J4" s="159"/>
      <c r="K4" s="159"/>
      <c r="L4" s="159"/>
      <c r="M4" s="159"/>
      <c r="N4" s="159"/>
      <c r="O4" s="159"/>
      <c r="P4" s="248"/>
      <c r="Q4" s="248"/>
      <c r="R4" s="225"/>
      <c r="S4" s="10"/>
      <c r="T4" s="458"/>
      <c r="U4" s="459"/>
      <c r="V4" s="459"/>
      <c r="W4" s="459"/>
      <c r="X4" s="459"/>
      <c r="Y4" s="459"/>
      <c r="Z4" s="459"/>
      <c r="AA4" s="152"/>
      <c r="AB4" s="152"/>
      <c r="AC4" s="152"/>
      <c r="AD4" s="152"/>
      <c r="AE4" s="152"/>
      <c r="AF4" s="152"/>
      <c r="AG4" s="152"/>
      <c r="AH4" s="152"/>
      <c r="AI4" s="202"/>
      <c r="AJ4" s="202"/>
      <c r="AK4" s="225"/>
      <c r="AL4" s="192"/>
      <c r="AM4" s="458"/>
      <c r="AN4" s="459"/>
      <c r="AO4" s="459"/>
      <c r="AP4" s="459"/>
      <c r="AQ4" s="459"/>
      <c r="AR4" s="459"/>
      <c r="AS4" s="459"/>
      <c r="AT4" s="152"/>
      <c r="AU4" s="152"/>
      <c r="AV4" s="152"/>
      <c r="AW4" s="152"/>
      <c r="AX4" s="152"/>
      <c r="AY4" s="152"/>
      <c r="AZ4" s="152"/>
      <c r="BA4" s="152"/>
      <c r="BB4" s="202"/>
      <c r="BC4" s="202"/>
      <c r="BD4" s="225"/>
      <c r="BE4" s="192"/>
      <c r="BF4" s="458"/>
      <c r="BG4" s="459"/>
      <c r="BH4" s="459"/>
      <c r="BI4" s="459"/>
      <c r="BJ4" s="459"/>
      <c r="BK4" s="459"/>
      <c r="BL4" s="459"/>
      <c r="BM4" s="152"/>
      <c r="BN4" s="152"/>
      <c r="BO4" s="152"/>
      <c r="BP4" s="152"/>
      <c r="BQ4" s="152"/>
      <c r="BR4" s="152"/>
      <c r="BS4" s="152"/>
      <c r="BT4" s="152"/>
      <c r="BU4" s="202"/>
      <c r="BV4" s="202"/>
      <c r="BW4" s="225"/>
      <c r="BX4" s="192"/>
      <c r="BY4" s="458"/>
      <c r="BZ4" s="459"/>
      <c r="CA4" s="459"/>
      <c r="CB4" s="459"/>
      <c r="CC4" s="459"/>
      <c r="CD4" s="459"/>
      <c r="CE4" s="459"/>
      <c r="CF4" s="152"/>
      <c r="CG4" s="152"/>
      <c r="CH4" s="152"/>
      <c r="CI4" s="152"/>
      <c r="CJ4" s="152"/>
      <c r="CK4" s="152"/>
      <c r="CL4" s="152"/>
      <c r="CM4" s="152"/>
      <c r="CN4" s="202"/>
      <c r="CO4" s="202"/>
      <c r="CP4" s="225"/>
      <c r="CQ4" s="192"/>
      <c r="CR4" s="458"/>
      <c r="CS4" s="459"/>
      <c r="CT4" s="459"/>
      <c r="CU4" s="459"/>
      <c r="CV4" s="459"/>
      <c r="CW4" s="459"/>
      <c r="CX4" s="459"/>
      <c r="CY4" s="152"/>
      <c r="CZ4" s="152"/>
      <c r="DA4" s="152"/>
      <c r="DB4" s="152"/>
      <c r="DC4" s="152"/>
      <c r="DD4" s="152"/>
      <c r="DE4" s="152"/>
      <c r="DF4" s="152"/>
      <c r="DG4" s="202"/>
      <c r="DH4" s="202"/>
      <c r="DI4" s="225"/>
      <c r="DJ4" s="192"/>
      <c r="DK4" s="192"/>
      <c r="DL4" s="192"/>
      <c r="DM4" s="192"/>
      <c r="DN4" s="192"/>
      <c r="DO4" s="192"/>
      <c r="DP4" s="192"/>
      <c r="DQ4" s="192"/>
      <c r="DR4" s="192"/>
      <c r="DS4" s="208"/>
    </row>
    <row r="5" spans="1:123" ht="15.75" thickBot="1">
      <c r="A5" s="18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248"/>
      <c r="Q5" s="248"/>
      <c r="R5" s="225"/>
      <c r="S5" s="10"/>
      <c r="T5" s="188"/>
      <c r="U5" s="159"/>
      <c r="V5" s="159"/>
      <c r="W5" s="159"/>
      <c r="X5" s="159"/>
      <c r="Y5" s="159"/>
      <c r="Z5" s="152"/>
      <c r="AA5" s="152"/>
      <c r="AB5" s="152"/>
      <c r="AC5" s="152"/>
      <c r="AD5" s="152"/>
      <c r="AE5" s="152"/>
      <c r="AF5" s="152"/>
      <c r="AG5" s="152"/>
      <c r="AH5" s="152"/>
      <c r="AI5" s="202"/>
      <c r="AJ5" s="202"/>
      <c r="AK5" s="225"/>
      <c r="AL5" s="192"/>
      <c r="AM5" s="188"/>
      <c r="AN5" s="159"/>
      <c r="AO5" s="159"/>
      <c r="AP5" s="159"/>
      <c r="AQ5" s="159"/>
      <c r="AR5" s="159"/>
      <c r="AS5" s="152"/>
      <c r="AT5" s="152"/>
      <c r="AU5" s="152"/>
      <c r="AV5" s="152"/>
      <c r="AW5" s="152"/>
      <c r="AX5" s="152"/>
      <c r="AY5" s="152"/>
      <c r="AZ5" s="152"/>
      <c r="BA5" s="152"/>
      <c r="BB5" s="202"/>
      <c r="BC5" s="202"/>
      <c r="BD5" s="225"/>
      <c r="BE5" s="192"/>
      <c r="BF5" s="188"/>
      <c r="BG5" s="159"/>
      <c r="BH5" s="159"/>
      <c r="BI5" s="159"/>
      <c r="BJ5" s="159"/>
      <c r="BK5" s="159"/>
      <c r="BL5" s="152"/>
      <c r="BM5" s="152"/>
      <c r="BN5" s="152"/>
      <c r="BO5" s="152"/>
      <c r="BP5" s="152"/>
      <c r="BQ5" s="152"/>
      <c r="BR5" s="152"/>
      <c r="BS5" s="152"/>
      <c r="BT5" s="152"/>
      <c r="BU5" s="202"/>
      <c r="BV5" s="202"/>
      <c r="BW5" s="225"/>
      <c r="BX5" s="192"/>
      <c r="BY5" s="188"/>
      <c r="BZ5" s="159"/>
      <c r="CA5" s="159"/>
      <c r="CB5" s="159"/>
      <c r="CC5" s="159"/>
      <c r="CD5" s="159"/>
      <c r="CE5" s="152"/>
      <c r="CF5" s="152"/>
      <c r="CG5" s="152"/>
      <c r="CH5" s="152"/>
      <c r="CI5" s="152"/>
      <c r="CJ5" s="152"/>
      <c r="CK5" s="152"/>
      <c r="CL5" s="152"/>
      <c r="CM5" s="152"/>
      <c r="CN5" s="202"/>
      <c r="CO5" s="202"/>
      <c r="CP5" s="225"/>
      <c r="CQ5" s="192"/>
      <c r="CR5" s="188"/>
      <c r="CS5" s="159"/>
      <c r="CT5" s="159"/>
      <c r="CU5" s="159"/>
      <c r="CV5" s="159"/>
      <c r="CW5" s="159"/>
      <c r="CX5" s="152"/>
      <c r="CY5" s="152"/>
      <c r="CZ5" s="152"/>
      <c r="DA5" s="152"/>
      <c r="DB5" s="152"/>
      <c r="DC5" s="152"/>
      <c r="DD5" s="152"/>
      <c r="DE5" s="152"/>
      <c r="DF5" s="152"/>
      <c r="DG5" s="202"/>
      <c r="DH5" s="202"/>
      <c r="DI5" s="225"/>
      <c r="DJ5" s="192"/>
      <c r="DK5" s="192"/>
      <c r="DL5" s="160"/>
      <c r="DM5" s="192"/>
      <c r="DN5" s="192"/>
      <c r="DO5" s="192"/>
      <c r="DP5" s="192"/>
      <c r="DQ5" s="192"/>
      <c r="DR5" s="192"/>
      <c r="DS5" s="208"/>
    </row>
    <row r="6" spans="1:123" ht="15.75" thickBot="1">
      <c r="A6" s="226" t="s">
        <v>47</v>
      </c>
      <c r="B6" s="159"/>
      <c r="C6" s="159"/>
      <c r="D6" s="159"/>
      <c r="E6" s="153" t="s">
        <v>238</v>
      </c>
      <c r="F6" s="159"/>
      <c r="G6" s="159"/>
      <c r="H6" s="153" t="s">
        <v>239</v>
      </c>
      <c r="I6" s="159"/>
      <c r="J6" s="159"/>
      <c r="K6" s="153" t="s">
        <v>240</v>
      </c>
      <c r="L6" s="159"/>
      <c r="M6" s="159"/>
      <c r="N6" s="249" t="s">
        <v>241</v>
      </c>
      <c r="O6" s="159"/>
      <c r="P6" s="248"/>
      <c r="Q6" s="449" t="s">
        <v>242</v>
      </c>
      <c r="R6" s="450"/>
      <c r="S6" s="10"/>
      <c r="T6" s="226"/>
      <c r="U6" s="159"/>
      <c r="V6" s="159"/>
      <c r="W6" s="159"/>
      <c r="X6" s="153"/>
      <c r="Y6" s="159"/>
      <c r="Z6" s="152"/>
      <c r="AA6" s="153"/>
      <c r="AB6" s="159"/>
      <c r="AC6" s="152"/>
      <c r="AD6" s="153"/>
      <c r="AE6" s="159"/>
      <c r="AF6" s="152"/>
      <c r="AG6" s="154"/>
      <c r="AH6" s="152"/>
      <c r="AI6" s="202"/>
      <c r="AJ6" s="449"/>
      <c r="AK6" s="450"/>
      <c r="AL6" s="192"/>
      <c r="AM6" s="226"/>
      <c r="AN6" s="159"/>
      <c r="AO6" s="159"/>
      <c r="AP6" s="159"/>
      <c r="AQ6" s="153"/>
      <c r="AR6" s="159"/>
      <c r="AS6" s="152"/>
      <c r="AT6" s="153"/>
      <c r="AU6" s="159"/>
      <c r="AV6" s="152"/>
      <c r="AW6" s="153"/>
      <c r="AX6" s="159"/>
      <c r="AY6" s="152"/>
      <c r="AZ6" s="154"/>
      <c r="BA6" s="152"/>
      <c r="BB6" s="202"/>
      <c r="BC6" s="250"/>
      <c r="BD6" s="251"/>
      <c r="BE6" s="192"/>
      <c r="BF6" s="226"/>
      <c r="BG6" s="159"/>
      <c r="BH6" s="159"/>
      <c r="BI6" s="159"/>
      <c r="BJ6" s="153"/>
      <c r="BK6" s="159"/>
      <c r="BL6" s="152"/>
      <c r="BM6" s="153"/>
      <c r="BN6" s="159"/>
      <c r="BO6" s="152"/>
      <c r="BP6" s="153"/>
      <c r="BQ6" s="159"/>
      <c r="BR6" s="152"/>
      <c r="BS6" s="154"/>
      <c r="BT6" s="152"/>
      <c r="BU6" s="202"/>
      <c r="BV6" s="449"/>
      <c r="BW6" s="450"/>
      <c r="BX6" s="192"/>
      <c r="BY6" s="226"/>
      <c r="BZ6" s="159"/>
      <c r="CA6" s="159"/>
      <c r="CB6" s="159"/>
      <c r="CC6" s="153"/>
      <c r="CD6" s="159"/>
      <c r="CE6" s="152"/>
      <c r="CF6" s="153"/>
      <c r="CG6" s="159"/>
      <c r="CH6" s="152"/>
      <c r="CI6" s="153"/>
      <c r="CJ6" s="159"/>
      <c r="CK6" s="152"/>
      <c r="CL6" s="154"/>
      <c r="CM6" s="152"/>
      <c r="CN6" s="202"/>
      <c r="CO6" s="449"/>
      <c r="CP6" s="450"/>
      <c r="CQ6" s="192"/>
      <c r="CR6" s="326"/>
      <c r="CS6" s="327"/>
      <c r="CT6" s="327"/>
      <c r="CU6" s="327"/>
      <c r="CV6" s="328"/>
      <c r="CW6" s="327"/>
      <c r="CX6" s="327"/>
      <c r="CY6" s="328"/>
      <c r="CZ6" s="327"/>
      <c r="DA6" s="327"/>
      <c r="DB6" s="328"/>
      <c r="DC6" s="327"/>
      <c r="DD6" s="327"/>
      <c r="DE6" s="329"/>
      <c r="DF6" s="327"/>
      <c r="DG6" s="327"/>
      <c r="DH6" s="466"/>
      <c r="DI6" s="467"/>
      <c r="DJ6" s="192"/>
      <c r="DK6" s="192"/>
      <c r="DL6" s="160"/>
      <c r="DM6" s="215"/>
      <c r="DN6" s="215"/>
      <c r="DO6" s="215"/>
      <c r="DP6" s="215"/>
      <c r="DQ6" s="215"/>
      <c r="DR6" s="215"/>
      <c r="DS6" s="208"/>
    </row>
    <row r="7" spans="1:123">
      <c r="A7" s="227" t="s">
        <v>45</v>
      </c>
      <c r="B7" s="252">
        <v>6230415</v>
      </c>
      <c r="C7" s="159"/>
      <c r="D7" s="159"/>
      <c r="E7" s="144"/>
      <c r="F7" s="145">
        <v>447000</v>
      </c>
      <c r="G7" s="159"/>
      <c r="H7" s="144"/>
      <c r="I7" s="145">
        <v>424172</v>
      </c>
      <c r="J7" s="159"/>
      <c r="K7" s="144"/>
      <c r="L7" s="145">
        <v>50000</v>
      </c>
      <c r="M7" s="159"/>
      <c r="N7" s="253"/>
      <c r="O7" s="22">
        <v>800000</v>
      </c>
      <c r="P7" s="248"/>
      <c r="Q7" s="254"/>
      <c r="R7" s="228">
        <v>1400000</v>
      </c>
      <c r="S7" s="10"/>
      <c r="T7" s="227"/>
      <c r="U7" s="194"/>
      <c r="V7" s="159"/>
      <c r="W7" s="159"/>
      <c r="X7" s="144"/>
      <c r="Y7" s="145"/>
      <c r="Z7" s="152"/>
      <c r="AA7" s="144"/>
      <c r="AB7" s="145"/>
      <c r="AC7" s="159"/>
      <c r="AD7" s="144"/>
      <c r="AE7" s="145"/>
      <c r="AF7" s="152"/>
      <c r="AG7" s="23"/>
      <c r="AH7" s="3"/>
      <c r="AI7" s="202"/>
      <c r="AJ7" s="200"/>
      <c r="AK7" s="228"/>
      <c r="AL7" s="192"/>
      <c r="AM7" s="227"/>
      <c r="AN7" s="194"/>
      <c r="AO7" s="159"/>
      <c r="AP7" s="159"/>
      <c r="AQ7" s="144"/>
      <c r="AR7" s="184"/>
      <c r="AS7" s="152"/>
      <c r="AT7" s="144"/>
      <c r="AU7" s="184"/>
      <c r="AV7" s="159"/>
      <c r="AW7" s="144"/>
      <c r="AX7" s="184"/>
      <c r="AY7" s="152"/>
      <c r="AZ7" s="23"/>
      <c r="BA7" s="182"/>
      <c r="BB7" s="202"/>
      <c r="BC7" s="255"/>
      <c r="BD7" s="256"/>
      <c r="BE7" s="192"/>
      <c r="BF7" s="227"/>
      <c r="BG7" s="194"/>
      <c r="BH7" s="159"/>
      <c r="BI7" s="159"/>
      <c r="BJ7" s="144"/>
      <c r="BK7" s="145"/>
      <c r="BL7" s="152"/>
      <c r="BM7" s="144"/>
      <c r="BN7" s="145"/>
      <c r="BO7" s="159"/>
      <c r="BP7" s="144"/>
      <c r="BQ7" s="145"/>
      <c r="BR7" s="152"/>
      <c r="BS7" s="23"/>
      <c r="BT7" s="3"/>
      <c r="BU7" s="202"/>
      <c r="BV7" s="200"/>
      <c r="BW7" s="228"/>
      <c r="BX7" s="192"/>
      <c r="BY7" s="227"/>
      <c r="BZ7" s="194"/>
      <c r="CA7" s="159"/>
      <c r="CB7" s="159"/>
      <c r="CC7" s="144"/>
      <c r="CD7" s="145"/>
      <c r="CE7" s="152"/>
      <c r="CF7" s="144"/>
      <c r="CG7" s="145"/>
      <c r="CH7" s="159"/>
      <c r="CI7" s="144"/>
      <c r="CJ7" s="145"/>
      <c r="CK7" s="152"/>
      <c r="CL7" s="23"/>
      <c r="CM7" s="3"/>
      <c r="CN7" s="202"/>
      <c r="CO7" s="200"/>
      <c r="CP7" s="228"/>
      <c r="CQ7" s="192"/>
      <c r="CR7" s="330"/>
      <c r="CS7" s="331"/>
      <c r="CT7" s="327"/>
      <c r="CU7" s="327"/>
      <c r="CV7" s="332"/>
      <c r="CW7" s="333"/>
      <c r="CX7" s="327"/>
      <c r="CY7" s="332"/>
      <c r="CZ7" s="333"/>
      <c r="DA7" s="327"/>
      <c r="DB7" s="332"/>
      <c r="DC7" s="333"/>
      <c r="DD7" s="327"/>
      <c r="DE7" s="334"/>
      <c r="DF7" s="335"/>
      <c r="DG7" s="327"/>
      <c r="DH7" s="334"/>
      <c r="DI7" s="336"/>
      <c r="DJ7" s="192"/>
      <c r="DK7" s="192"/>
      <c r="DL7" s="160"/>
      <c r="DM7" s="215"/>
      <c r="DN7" s="215"/>
      <c r="DO7" s="215"/>
      <c r="DP7" s="215"/>
      <c r="DQ7" s="215"/>
      <c r="DR7" s="215"/>
      <c r="DS7" s="208"/>
    </row>
    <row r="8" spans="1:123">
      <c r="A8" s="166" t="s">
        <v>44</v>
      </c>
      <c r="B8" s="257">
        <v>4209789.92</v>
      </c>
      <c r="C8" s="159"/>
      <c r="D8" s="159"/>
      <c r="E8" s="146"/>
      <c r="F8" s="147"/>
      <c r="G8" s="159"/>
      <c r="H8" s="146"/>
      <c r="I8" s="147"/>
      <c r="J8" s="159"/>
      <c r="K8" s="146"/>
      <c r="L8" s="147"/>
      <c r="M8" s="159"/>
      <c r="N8" s="19"/>
      <c r="O8" s="18"/>
      <c r="P8" s="248"/>
      <c r="Q8" s="258"/>
      <c r="R8" s="229"/>
      <c r="S8" s="10"/>
      <c r="T8" s="166"/>
      <c r="U8" s="180"/>
      <c r="V8" s="159"/>
      <c r="W8" s="159"/>
      <c r="X8" s="146"/>
      <c r="Y8" s="147"/>
      <c r="Z8" s="152"/>
      <c r="AA8" s="146"/>
      <c r="AB8" s="147"/>
      <c r="AC8" s="159"/>
      <c r="AD8" s="146"/>
      <c r="AE8" s="147"/>
      <c r="AF8" s="152"/>
      <c r="AG8" s="5"/>
      <c r="AH8" s="4"/>
      <c r="AI8" s="202"/>
      <c r="AJ8" s="198"/>
      <c r="AK8" s="229"/>
      <c r="AL8" s="192"/>
      <c r="AM8" s="166"/>
      <c r="AN8" s="180"/>
      <c r="AO8" s="159"/>
      <c r="AP8" s="159"/>
      <c r="AQ8" s="146"/>
      <c r="AR8" s="185"/>
      <c r="AS8" s="152"/>
      <c r="AT8" s="146"/>
      <c r="AU8" s="185"/>
      <c r="AV8" s="159"/>
      <c r="AW8" s="146"/>
      <c r="AX8" s="185"/>
      <c r="AY8" s="152"/>
      <c r="AZ8" s="5"/>
      <c r="BA8" s="180"/>
      <c r="BB8" s="202"/>
      <c r="BC8" s="259"/>
      <c r="BD8" s="260"/>
      <c r="BE8" s="192"/>
      <c r="BF8" s="166"/>
      <c r="BG8" s="180"/>
      <c r="BH8" s="159"/>
      <c r="BI8" s="159"/>
      <c r="BJ8" s="146"/>
      <c r="BK8" s="147"/>
      <c r="BL8" s="152"/>
      <c r="BM8" s="146"/>
      <c r="BN8" s="147"/>
      <c r="BO8" s="159"/>
      <c r="BP8" s="146"/>
      <c r="BQ8" s="147"/>
      <c r="BR8" s="152"/>
      <c r="BS8" s="5"/>
      <c r="BT8" s="4"/>
      <c r="BU8" s="202"/>
      <c r="BV8" s="198"/>
      <c r="BW8" s="229"/>
      <c r="BX8" s="192"/>
      <c r="BY8" s="166"/>
      <c r="BZ8" s="180"/>
      <c r="CA8" s="159"/>
      <c r="CB8" s="159"/>
      <c r="CC8" s="146"/>
      <c r="CD8" s="147"/>
      <c r="CE8" s="152"/>
      <c r="CF8" s="146"/>
      <c r="CG8" s="147"/>
      <c r="CH8" s="159"/>
      <c r="CI8" s="146"/>
      <c r="CJ8" s="147"/>
      <c r="CK8" s="152"/>
      <c r="CL8" s="5"/>
      <c r="CM8" s="4"/>
      <c r="CN8" s="202"/>
      <c r="CO8" s="198"/>
      <c r="CP8" s="229"/>
      <c r="CQ8" s="192"/>
      <c r="CR8" s="337"/>
      <c r="CS8" s="338"/>
      <c r="CT8" s="327"/>
      <c r="CU8" s="327"/>
      <c r="CV8" s="339"/>
      <c r="CW8" s="340"/>
      <c r="CX8" s="327"/>
      <c r="CY8" s="339"/>
      <c r="CZ8" s="340"/>
      <c r="DA8" s="327"/>
      <c r="DB8" s="339"/>
      <c r="DC8" s="340"/>
      <c r="DD8" s="327"/>
      <c r="DE8" s="341"/>
      <c r="DF8" s="338"/>
      <c r="DG8" s="327"/>
      <c r="DH8" s="341"/>
      <c r="DI8" s="342"/>
      <c r="DJ8" s="192"/>
      <c r="DK8" s="192"/>
      <c r="DL8" s="160"/>
      <c r="DM8" s="215"/>
      <c r="DN8" s="215"/>
      <c r="DO8" s="215"/>
      <c r="DP8" s="215"/>
      <c r="DQ8" s="215"/>
      <c r="DR8" s="215"/>
      <c r="DS8" s="208"/>
    </row>
    <row r="9" spans="1:123">
      <c r="A9" s="166" t="s">
        <v>43</v>
      </c>
      <c r="B9" s="257">
        <v>731461.7</v>
      </c>
      <c r="C9" s="159"/>
      <c r="D9" s="159"/>
      <c r="E9" s="146"/>
      <c r="F9" s="147"/>
      <c r="G9" s="159"/>
      <c r="H9" s="146"/>
      <c r="I9" s="147"/>
      <c r="J9" s="159"/>
      <c r="K9" s="146"/>
      <c r="L9" s="147"/>
      <c r="M9" s="159"/>
      <c r="N9" s="19"/>
      <c r="O9" s="18"/>
      <c r="P9" s="248"/>
      <c r="Q9" s="258"/>
      <c r="R9" s="229"/>
      <c r="S9" s="10"/>
      <c r="T9" s="166"/>
      <c r="U9" s="180"/>
      <c r="V9" s="159"/>
      <c r="W9" s="159"/>
      <c r="X9" s="146"/>
      <c r="Y9" s="147"/>
      <c r="Z9" s="152"/>
      <c r="AA9" s="146"/>
      <c r="AB9" s="147"/>
      <c r="AC9" s="159"/>
      <c r="AD9" s="146"/>
      <c r="AE9" s="147"/>
      <c r="AF9" s="152"/>
      <c r="AG9" s="5"/>
      <c r="AH9" s="4"/>
      <c r="AI9" s="202"/>
      <c r="AJ9" s="198"/>
      <c r="AK9" s="229"/>
      <c r="AL9" s="192"/>
      <c r="AM9" s="166"/>
      <c r="AN9" s="180"/>
      <c r="AO9" s="159"/>
      <c r="AP9" s="159"/>
      <c r="AQ9" s="146"/>
      <c r="AR9" s="185"/>
      <c r="AS9" s="152"/>
      <c r="AT9" s="146"/>
      <c r="AU9" s="185"/>
      <c r="AV9" s="159"/>
      <c r="AW9" s="146"/>
      <c r="AX9" s="185"/>
      <c r="AY9" s="152"/>
      <c r="AZ9" s="5"/>
      <c r="BA9" s="180"/>
      <c r="BB9" s="202"/>
      <c r="BC9" s="259"/>
      <c r="BD9" s="260"/>
      <c r="BE9" s="192"/>
      <c r="BF9" s="166"/>
      <c r="BG9" s="180"/>
      <c r="BH9" s="159"/>
      <c r="BI9" s="159"/>
      <c r="BJ9" s="146"/>
      <c r="BK9" s="147"/>
      <c r="BL9" s="152"/>
      <c r="BM9" s="146"/>
      <c r="BN9" s="147"/>
      <c r="BO9" s="159"/>
      <c r="BP9" s="146"/>
      <c r="BQ9" s="147"/>
      <c r="BR9" s="152"/>
      <c r="BS9" s="5"/>
      <c r="BT9" s="4"/>
      <c r="BU9" s="202"/>
      <c r="BV9" s="198"/>
      <c r="BW9" s="229"/>
      <c r="BX9" s="192"/>
      <c r="BY9" s="166"/>
      <c r="BZ9" s="180"/>
      <c r="CA9" s="159"/>
      <c r="CB9" s="159"/>
      <c r="CC9" s="146"/>
      <c r="CD9" s="147"/>
      <c r="CE9" s="152"/>
      <c r="CF9" s="146"/>
      <c r="CG9" s="147"/>
      <c r="CH9" s="159"/>
      <c r="CI9" s="146"/>
      <c r="CJ9" s="147"/>
      <c r="CK9" s="152"/>
      <c r="CL9" s="5"/>
      <c r="CM9" s="4"/>
      <c r="CN9" s="202"/>
      <c r="CO9" s="198"/>
      <c r="CP9" s="229"/>
      <c r="CQ9" s="192"/>
      <c r="CR9" s="337"/>
      <c r="CS9" s="338"/>
      <c r="CT9" s="327"/>
      <c r="CU9" s="327"/>
      <c r="CV9" s="339"/>
      <c r="CW9" s="340"/>
      <c r="CX9" s="327"/>
      <c r="CY9" s="339"/>
      <c r="CZ9" s="340"/>
      <c r="DA9" s="327"/>
      <c r="DB9" s="339"/>
      <c r="DC9" s="340"/>
      <c r="DD9" s="327"/>
      <c r="DE9" s="341"/>
      <c r="DF9" s="338"/>
      <c r="DG9" s="327"/>
      <c r="DH9" s="341"/>
      <c r="DI9" s="342"/>
      <c r="DJ9" s="192"/>
      <c r="DK9" s="192"/>
      <c r="DL9" s="160"/>
      <c r="DM9" s="215"/>
      <c r="DN9" s="215"/>
      <c r="DO9" s="215"/>
      <c r="DP9" s="215"/>
      <c r="DQ9" s="215"/>
      <c r="DR9" s="215"/>
      <c r="DS9" s="208"/>
    </row>
    <row r="10" spans="1:123">
      <c r="A10" s="166" t="s">
        <v>42</v>
      </c>
      <c r="B10" s="257">
        <v>20000</v>
      </c>
      <c r="C10" s="159"/>
      <c r="D10" s="159"/>
      <c r="E10" s="146"/>
      <c r="F10" s="147"/>
      <c r="G10" s="159"/>
      <c r="H10" s="146"/>
      <c r="I10" s="147"/>
      <c r="J10" s="159"/>
      <c r="K10" s="146"/>
      <c r="L10" s="147"/>
      <c r="M10" s="159"/>
      <c r="N10" s="19"/>
      <c r="O10" s="18"/>
      <c r="P10" s="248"/>
      <c r="Q10" s="258"/>
      <c r="R10" s="229"/>
      <c r="S10" s="10"/>
      <c r="T10" s="166"/>
      <c r="U10" s="180"/>
      <c r="V10" s="159"/>
      <c r="W10" s="159"/>
      <c r="X10" s="146"/>
      <c r="Y10" s="147"/>
      <c r="Z10" s="152"/>
      <c r="AA10" s="146"/>
      <c r="AB10" s="147"/>
      <c r="AC10" s="159"/>
      <c r="AD10" s="146"/>
      <c r="AE10" s="147"/>
      <c r="AF10" s="152"/>
      <c r="AG10" s="5"/>
      <c r="AH10" s="4"/>
      <c r="AI10" s="202"/>
      <c r="AJ10" s="198"/>
      <c r="AK10" s="229"/>
      <c r="AL10" s="192"/>
      <c r="AM10" s="166"/>
      <c r="AN10" s="180"/>
      <c r="AO10" s="159"/>
      <c r="AP10" s="159"/>
      <c r="AQ10" s="146"/>
      <c r="AR10" s="185"/>
      <c r="AS10" s="152"/>
      <c r="AT10" s="146"/>
      <c r="AU10" s="185"/>
      <c r="AV10" s="159"/>
      <c r="AW10" s="146"/>
      <c r="AX10" s="185"/>
      <c r="AY10" s="152"/>
      <c r="AZ10" s="5"/>
      <c r="BA10" s="180"/>
      <c r="BB10" s="202"/>
      <c r="BC10" s="259"/>
      <c r="BD10" s="260"/>
      <c r="BE10" s="192"/>
      <c r="BF10" s="166"/>
      <c r="BG10" s="180"/>
      <c r="BH10" s="159"/>
      <c r="BI10" s="159"/>
      <c r="BJ10" s="146"/>
      <c r="BK10" s="147"/>
      <c r="BL10" s="152"/>
      <c r="BM10" s="146"/>
      <c r="BN10" s="147"/>
      <c r="BO10" s="159"/>
      <c r="BP10" s="146"/>
      <c r="BQ10" s="147"/>
      <c r="BR10" s="152"/>
      <c r="BS10" s="5"/>
      <c r="BT10" s="4"/>
      <c r="BU10" s="202"/>
      <c r="BV10" s="198"/>
      <c r="BW10" s="229"/>
      <c r="BX10" s="192"/>
      <c r="BY10" s="166"/>
      <c r="BZ10" s="180"/>
      <c r="CA10" s="159"/>
      <c r="CB10" s="159"/>
      <c r="CC10" s="146"/>
      <c r="CD10" s="147"/>
      <c r="CE10" s="152"/>
      <c r="CF10" s="146"/>
      <c r="CG10" s="147"/>
      <c r="CH10" s="159"/>
      <c r="CI10" s="146"/>
      <c r="CJ10" s="147"/>
      <c r="CK10" s="152"/>
      <c r="CL10" s="5"/>
      <c r="CM10" s="4"/>
      <c r="CN10" s="202"/>
      <c r="CO10" s="198"/>
      <c r="CP10" s="229"/>
      <c r="CQ10" s="192"/>
      <c r="CR10" s="337"/>
      <c r="CS10" s="338"/>
      <c r="CT10" s="327"/>
      <c r="CU10" s="327"/>
      <c r="CV10" s="339"/>
      <c r="CW10" s="340"/>
      <c r="CX10" s="327"/>
      <c r="CY10" s="339"/>
      <c r="CZ10" s="340"/>
      <c r="DA10" s="327"/>
      <c r="DB10" s="339"/>
      <c r="DC10" s="340"/>
      <c r="DD10" s="327"/>
      <c r="DE10" s="341"/>
      <c r="DF10" s="338"/>
      <c r="DG10" s="327"/>
      <c r="DH10" s="341"/>
      <c r="DI10" s="342"/>
      <c r="DJ10" s="192"/>
      <c r="DK10" s="192"/>
      <c r="DL10" s="160"/>
      <c r="DM10" s="215"/>
      <c r="DN10" s="215"/>
      <c r="DO10" s="215"/>
      <c r="DP10" s="215"/>
      <c r="DQ10" s="215"/>
      <c r="DR10" s="215"/>
      <c r="DS10" s="208"/>
    </row>
    <row r="11" spans="1:123" ht="15.75" thickBot="1">
      <c r="A11" s="230" t="s">
        <v>12</v>
      </c>
      <c r="B11" s="261">
        <f>L36</f>
        <v>0</v>
      </c>
      <c r="C11" s="159"/>
      <c r="D11" s="159"/>
      <c r="E11" s="262"/>
      <c r="F11" s="263"/>
      <c r="G11" s="159"/>
      <c r="H11" s="262"/>
      <c r="I11" s="263"/>
      <c r="J11" s="159"/>
      <c r="K11" s="262"/>
      <c r="L11" s="264"/>
      <c r="M11" s="159"/>
      <c r="N11" s="16"/>
      <c r="O11" s="15"/>
      <c r="P11" s="248"/>
      <c r="Q11" s="265"/>
      <c r="R11" s="231"/>
      <c r="S11" s="10"/>
      <c r="T11" s="230"/>
      <c r="U11" s="181"/>
      <c r="V11" s="159"/>
      <c r="W11" s="159"/>
      <c r="X11" s="148"/>
      <c r="Y11" s="149"/>
      <c r="Z11" s="152"/>
      <c r="AA11" s="148"/>
      <c r="AB11" s="196"/>
      <c r="AC11" s="159"/>
      <c r="AD11" s="148"/>
      <c r="AE11" s="149"/>
      <c r="AF11" s="152"/>
      <c r="AG11" s="20"/>
      <c r="AH11" s="2"/>
      <c r="AI11" s="202"/>
      <c r="AJ11" s="199"/>
      <c r="AK11" s="231"/>
      <c r="AL11" s="192"/>
      <c r="AM11" s="230"/>
      <c r="AN11" s="181"/>
      <c r="AO11" s="159"/>
      <c r="AP11" s="159"/>
      <c r="AQ11" s="148"/>
      <c r="AR11" s="266"/>
      <c r="AS11" s="152"/>
      <c r="AT11" s="148"/>
      <c r="AU11" s="267"/>
      <c r="AV11" s="159"/>
      <c r="AW11" s="148"/>
      <c r="AX11" s="266"/>
      <c r="AY11" s="152"/>
      <c r="AZ11" s="20"/>
      <c r="BA11" s="181"/>
      <c r="BB11" s="202"/>
      <c r="BC11" s="268"/>
      <c r="BD11" s="269"/>
      <c r="BE11" s="192"/>
      <c r="BF11" s="230"/>
      <c r="BG11" s="181"/>
      <c r="BH11" s="159"/>
      <c r="BI11" s="159"/>
      <c r="BJ11" s="148"/>
      <c r="BK11" s="149"/>
      <c r="BL11" s="152"/>
      <c r="BM11" s="148"/>
      <c r="BN11" s="196"/>
      <c r="BO11" s="159"/>
      <c r="BP11" s="148"/>
      <c r="BQ11" s="149"/>
      <c r="BR11" s="152"/>
      <c r="BS11" s="20"/>
      <c r="BT11" s="2"/>
      <c r="BU11" s="202"/>
      <c r="BV11" s="199"/>
      <c r="BW11" s="231"/>
      <c r="BX11" s="192"/>
      <c r="BY11" s="230"/>
      <c r="BZ11" s="181"/>
      <c r="CA11" s="159"/>
      <c r="CB11" s="159"/>
      <c r="CC11" s="148"/>
      <c r="CD11" s="149"/>
      <c r="CE11" s="152"/>
      <c r="CF11" s="148"/>
      <c r="CG11" s="196"/>
      <c r="CH11" s="159"/>
      <c r="CI11" s="148"/>
      <c r="CJ11" s="149"/>
      <c r="CK11" s="152"/>
      <c r="CL11" s="20"/>
      <c r="CM11" s="2"/>
      <c r="CN11" s="202"/>
      <c r="CO11" s="199"/>
      <c r="CP11" s="231"/>
      <c r="CQ11" s="192"/>
      <c r="CR11" s="343"/>
      <c r="CS11" s="344"/>
      <c r="CT11" s="327"/>
      <c r="CU11" s="327"/>
      <c r="CV11" s="345"/>
      <c r="CW11" s="346"/>
      <c r="CX11" s="327"/>
      <c r="CY11" s="345"/>
      <c r="CZ11" s="347"/>
      <c r="DA11" s="327"/>
      <c r="DB11" s="345"/>
      <c r="DC11" s="346"/>
      <c r="DD11" s="327"/>
      <c r="DE11" s="348"/>
      <c r="DF11" s="344"/>
      <c r="DG11" s="327"/>
      <c r="DH11" s="348"/>
      <c r="DI11" s="349"/>
      <c r="DJ11" s="192"/>
      <c r="DK11" s="192"/>
      <c r="DL11" s="160"/>
      <c r="DM11" s="215"/>
      <c r="DN11" s="215"/>
      <c r="DO11" s="215"/>
      <c r="DP11" s="215"/>
      <c r="DQ11" s="215"/>
      <c r="DR11" s="215"/>
      <c r="DS11" s="208"/>
    </row>
    <row r="12" spans="1:123" ht="15.75" thickBot="1">
      <c r="A12" s="232" t="s">
        <v>27</v>
      </c>
      <c r="B12" s="270">
        <f>SUM(B7:B11)</f>
        <v>11191666.619999999</v>
      </c>
      <c r="C12" s="159"/>
      <c r="D12" s="159"/>
      <c r="E12" s="146"/>
      <c r="F12" s="147"/>
      <c r="G12" s="159"/>
      <c r="H12" s="146"/>
      <c r="I12" s="147"/>
      <c r="J12" s="159"/>
      <c r="K12" s="146"/>
      <c r="L12" s="147"/>
      <c r="M12" s="159"/>
      <c r="N12" s="159"/>
      <c r="O12" s="21">
        <f>SUM(O7:O11)</f>
        <v>800000</v>
      </c>
      <c r="P12" s="248"/>
      <c r="Q12" s="248"/>
      <c r="R12" s="233">
        <f>SUM(R7:R11)</f>
        <v>1400000</v>
      </c>
      <c r="S12" s="10"/>
      <c r="T12" s="232"/>
      <c r="U12" s="183"/>
      <c r="V12" s="159"/>
      <c r="W12" s="159"/>
      <c r="X12" s="146"/>
      <c r="Y12" s="147"/>
      <c r="Z12" s="152"/>
      <c r="AA12" s="146"/>
      <c r="AB12" s="147"/>
      <c r="AC12" s="159"/>
      <c r="AD12" s="146"/>
      <c r="AE12" s="147"/>
      <c r="AF12" s="152"/>
      <c r="AG12" s="152"/>
      <c r="AH12" s="17"/>
      <c r="AI12" s="202"/>
      <c r="AJ12" s="202"/>
      <c r="AK12" s="233"/>
      <c r="AL12" s="192"/>
      <c r="AM12" s="232"/>
      <c r="AN12" s="183"/>
      <c r="AO12" s="159"/>
      <c r="AP12" s="159"/>
      <c r="AQ12" s="146"/>
      <c r="AR12" s="185"/>
      <c r="AS12" s="152"/>
      <c r="AT12" s="146"/>
      <c r="AU12" s="185"/>
      <c r="AV12" s="159"/>
      <c r="AW12" s="146"/>
      <c r="AX12" s="185"/>
      <c r="AY12" s="152"/>
      <c r="AZ12" s="152"/>
      <c r="BA12" s="183"/>
      <c r="BB12" s="202"/>
      <c r="BC12" s="202"/>
      <c r="BD12" s="271"/>
      <c r="BE12" s="192"/>
      <c r="BF12" s="232"/>
      <c r="BG12" s="183"/>
      <c r="BH12" s="159"/>
      <c r="BI12" s="159"/>
      <c r="BJ12" s="146"/>
      <c r="BK12" s="147"/>
      <c r="BL12" s="152"/>
      <c r="BM12" s="146"/>
      <c r="BN12" s="147"/>
      <c r="BO12" s="159"/>
      <c r="BP12" s="146"/>
      <c r="BQ12" s="147"/>
      <c r="BR12" s="152"/>
      <c r="BS12" s="152"/>
      <c r="BT12" s="17"/>
      <c r="BU12" s="202"/>
      <c r="BV12" s="202"/>
      <c r="BW12" s="233"/>
      <c r="BX12" s="192"/>
      <c r="BY12" s="232"/>
      <c r="BZ12" s="183"/>
      <c r="CA12" s="159"/>
      <c r="CB12" s="159"/>
      <c r="CC12" s="146"/>
      <c r="CD12" s="147"/>
      <c r="CE12" s="152"/>
      <c r="CF12" s="146"/>
      <c r="CG12" s="147"/>
      <c r="CH12" s="159"/>
      <c r="CI12" s="146"/>
      <c r="CJ12" s="147"/>
      <c r="CK12" s="152"/>
      <c r="CL12" s="152"/>
      <c r="CM12" s="17"/>
      <c r="CN12" s="202"/>
      <c r="CO12" s="202"/>
      <c r="CP12" s="233"/>
      <c r="CQ12" s="192"/>
      <c r="CR12" s="350"/>
      <c r="CS12" s="351"/>
      <c r="CT12" s="327"/>
      <c r="CU12" s="327"/>
      <c r="CV12" s="339"/>
      <c r="CW12" s="340"/>
      <c r="CX12" s="327"/>
      <c r="CY12" s="339"/>
      <c r="CZ12" s="340"/>
      <c r="DA12" s="327"/>
      <c r="DB12" s="339"/>
      <c r="DC12" s="340"/>
      <c r="DD12" s="327"/>
      <c r="DE12" s="327"/>
      <c r="DF12" s="351"/>
      <c r="DG12" s="327"/>
      <c r="DH12" s="327"/>
      <c r="DI12" s="352"/>
      <c r="DJ12" s="192"/>
      <c r="DK12" s="192"/>
      <c r="DL12" s="160"/>
      <c r="DM12" s="215"/>
      <c r="DN12" s="215"/>
      <c r="DO12" s="215"/>
      <c r="DP12" s="215"/>
      <c r="DQ12" s="215"/>
      <c r="DR12" s="215"/>
      <c r="DS12" s="208"/>
    </row>
    <row r="13" spans="1:123" ht="15.75" thickBot="1">
      <c r="A13" s="272"/>
      <c r="B13" s="273"/>
      <c r="C13" s="159"/>
      <c r="D13" s="159"/>
      <c r="E13" s="150"/>
      <c r="F13" s="151"/>
      <c r="G13" s="159"/>
      <c r="H13" s="150"/>
      <c r="I13" s="151"/>
      <c r="J13" s="159"/>
      <c r="K13" s="150"/>
      <c r="L13" s="151"/>
      <c r="M13" s="159"/>
      <c r="N13" s="159"/>
      <c r="O13" s="159"/>
      <c r="P13" s="248"/>
      <c r="Q13" s="248"/>
      <c r="R13" s="225"/>
      <c r="S13" s="10"/>
      <c r="T13" s="234"/>
      <c r="U13" s="203"/>
      <c r="V13" s="159"/>
      <c r="W13" s="159"/>
      <c r="X13" s="150"/>
      <c r="Y13" s="151"/>
      <c r="Z13" s="152"/>
      <c r="AA13" s="150"/>
      <c r="AB13" s="151"/>
      <c r="AC13" s="159"/>
      <c r="AD13" s="150"/>
      <c r="AE13" s="151"/>
      <c r="AF13" s="152"/>
      <c r="AG13" s="152"/>
      <c r="AH13" s="152"/>
      <c r="AI13" s="202"/>
      <c r="AJ13" s="202"/>
      <c r="AK13" s="225"/>
      <c r="AL13" s="192"/>
      <c r="AM13" s="234"/>
      <c r="AN13" s="203"/>
      <c r="AO13" s="159"/>
      <c r="AP13" s="159"/>
      <c r="AQ13" s="150"/>
      <c r="AR13" s="274"/>
      <c r="AS13" s="152"/>
      <c r="AT13" s="150"/>
      <c r="AU13" s="274"/>
      <c r="AV13" s="159"/>
      <c r="AW13" s="150"/>
      <c r="AX13" s="274"/>
      <c r="AY13" s="152"/>
      <c r="AZ13" s="152"/>
      <c r="BA13" s="152"/>
      <c r="BB13" s="202"/>
      <c r="BC13" s="202"/>
      <c r="BD13" s="225"/>
      <c r="BE13" s="192"/>
      <c r="BF13" s="234"/>
      <c r="BG13" s="203"/>
      <c r="BH13" s="159"/>
      <c r="BI13" s="159"/>
      <c r="BJ13" s="150"/>
      <c r="BK13" s="151"/>
      <c r="BL13" s="152"/>
      <c r="BM13" s="150"/>
      <c r="BN13" s="151"/>
      <c r="BO13" s="159"/>
      <c r="BP13" s="150"/>
      <c r="BQ13" s="151"/>
      <c r="BR13" s="152"/>
      <c r="BS13" s="152"/>
      <c r="BT13" s="152"/>
      <c r="BU13" s="202"/>
      <c r="BV13" s="202"/>
      <c r="BW13" s="225"/>
      <c r="BX13" s="192"/>
      <c r="BY13" s="234"/>
      <c r="BZ13" s="203"/>
      <c r="CA13" s="159"/>
      <c r="CB13" s="159"/>
      <c r="CC13" s="150"/>
      <c r="CD13" s="151"/>
      <c r="CE13" s="152"/>
      <c r="CF13" s="150"/>
      <c r="CG13" s="151"/>
      <c r="CH13" s="159"/>
      <c r="CI13" s="150"/>
      <c r="CJ13" s="151"/>
      <c r="CK13" s="152"/>
      <c r="CL13" s="152"/>
      <c r="CM13" s="152"/>
      <c r="CN13" s="202"/>
      <c r="CO13" s="202"/>
      <c r="CP13" s="225"/>
      <c r="CQ13" s="192"/>
      <c r="CR13" s="353"/>
      <c r="CS13" s="354"/>
      <c r="CT13" s="327"/>
      <c r="CU13" s="327"/>
      <c r="CV13" s="355"/>
      <c r="CW13" s="356"/>
      <c r="CX13" s="327"/>
      <c r="CY13" s="355"/>
      <c r="CZ13" s="356"/>
      <c r="DA13" s="327"/>
      <c r="DB13" s="355"/>
      <c r="DC13" s="356"/>
      <c r="DD13" s="327"/>
      <c r="DE13" s="327"/>
      <c r="DF13" s="327"/>
      <c r="DG13" s="327"/>
      <c r="DH13" s="327"/>
      <c r="DI13" s="357"/>
      <c r="DJ13" s="192"/>
      <c r="DK13" s="192"/>
      <c r="DL13" s="209"/>
      <c r="DM13" s="215"/>
      <c r="DN13" s="215"/>
      <c r="DO13" s="215"/>
      <c r="DP13" s="215"/>
      <c r="DQ13" s="215"/>
      <c r="DR13" s="215"/>
      <c r="DS13" s="208"/>
    </row>
    <row r="14" spans="1:123" ht="15.75" thickBot="1">
      <c r="A14" s="272"/>
      <c r="B14" s="273"/>
      <c r="C14" s="159"/>
      <c r="D14" s="159"/>
      <c r="E14" s="165"/>
      <c r="F14" s="21">
        <f>SUM(F7:F13)</f>
        <v>447000</v>
      </c>
      <c r="G14" s="159"/>
      <c r="H14" s="165"/>
      <c r="I14" s="21">
        <f>SUM(I7:I13)</f>
        <v>424172</v>
      </c>
      <c r="J14" s="159"/>
      <c r="K14" s="165"/>
      <c r="L14" s="21">
        <f>SUM(L7:L13)</f>
        <v>50000</v>
      </c>
      <c r="M14" s="159"/>
      <c r="N14" s="159"/>
      <c r="O14" s="159"/>
      <c r="P14" s="248"/>
      <c r="Q14" s="248"/>
      <c r="R14" s="225"/>
      <c r="S14" s="10"/>
      <c r="T14" s="234"/>
      <c r="U14" s="203"/>
      <c r="V14" s="159"/>
      <c r="W14" s="159"/>
      <c r="X14" s="165"/>
      <c r="Y14" s="21"/>
      <c r="Z14" s="152"/>
      <c r="AA14" s="165"/>
      <c r="AB14" s="21"/>
      <c r="AC14" s="152"/>
      <c r="AD14" s="165"/>
      <c r="AE14" s="21"/>
      <c r="AF14" s="152"/>
      <c r="AG14" s="152"/>
      <c r="AH14" s="152"/>
      <c r="AI14" s="202"/>
      <c r="AJ14" s="202"/>
      <c r="AK14" s="225"/>
      <c r="AL14" s="192"/>
      <c r="AM14" s="234"/>
      <c r="AN14" s="203"/>
      <c r="AO14" s="159"/>
      <c r="AP14" s="159"/>
      <c r="AQ14" s="165"/>
      <c r="AR14" s="183"/>
      <c r="AS14" s="152"/>
      <c r="AT14" s="165"/>
      <c r="AU14" s="183"/>
      <c r="AV14" s="152"/>
      <c r="AW14" s="165"/>
      <c r="AX14" s="183"/>
      <c r="AY14" s="152"/>
      <c r="AZ14" s="152"/>
      <c r="BA14" s="152"/>
      <c r="BB14" s="202"/>
      <c r="BC14" s="202"/>
      <c r="BD14" s="225"/>
      <c r="BE14" s="192"/>
      <c r="BF14" s="234"/>
      <c r="BG14" s="203"/>
      <c r="BH14" s="159"/>
      <c r="BI14" s="159"/>
      <c r="BJ14" s="165"/>
      <c r="BK14" s="21"/>
      <c r="BL14" s="152"/>
      <c r="BM14" s="165"/>
      <c r="BN14" s="21"/>
      <c r="BO14" s="152"/>
      <c r="BP14" s="165"/>
      <c r="BQ14" s="21"/>
      <c r="BR14" s="152"/>
      <c r="BS14" s="152"/>
      <c r="BT14" s="152"/>
      <c r="BU14" s="202"/>
      <c r="BV14" s="202"/>
      <c r="BW14" s="225"/>
      <c r="BX14" s="192"/>
      <c r="BY14" s="234"/>
      <c r="BZ14" s="203"/>
      <c r="CA14" s="159"/>
      <c r="CB14" s="159"/>
      <c r="CC14" s="165"/>
      <c r="CD14" s="21"/>
      <c r="CE14" s="152"/>
      <c r="CF14" s="165"/>
      <c r="CG14" s="21"/>
      <c r="CH14" s="152"/>
      <c r="CI14" s="165"/>
      <c r="CJ14" s="21"/>
      <c r="CK14" s="152"/>
      <c r="CL14" s="152"/>
      <c r="CM14" s="152"/>
      <c r="CN14" s="202"/>
      <c r="CO14" s="202"/>
      <c r="CP14" s="225"/>
      <c r="CQ14" s="192"/>
      <c r="CR14" s="353"/>
      <c r="CS14" s="354"/>
      <c r="CT14" s="327"/>
      <c r="CU14" s="327"/>
      <c r="CV14" s="358"/>
      <c r="CW14" s="351"/>
      <c r="CX14" s="327"/>
      <c r="CY14" s="358"/>
      <c r="CZ14" s="351"/>
      <c r="DA14" s="327"/>
      <c r="DB14" s="358"/>
      <c r="DC14" s="351"/>
      <c r="DD14" s="327"/>
      <c r="DE14" s="327"/>
      <c r="DF14" s="327"/>
      <c r="DG14" s="327"/>
      <c r="DH14" s="327"/>
      <c r="DI14" s="357"/>
      <c r="DJ14" s="192"/>
      <c r="DK14" s="192"/>
      <c r="DL14" s="160"/>
      <c r="DM14" s="192"/>
      <c r="DN14" s="192"/>
      <c r="DO14" s="192"/>
      <c r="DP14" s="192"/>
      <c r="DQ14" s="192"/>
      <c r="DR14" s="192"/>
      <c r="DS14" s="208"/>
    </row>
    <row r="15" spans="1:123" ht="15.75" thickBot="1">
      <c r="A15" s="235" t="s">
        <v>41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248"/>
      <c r="Q15" s="248"/>
      <c r="R15" s="225"/>
      <c r="S15" s="10"/>
      <c r="T15" s="235"/>
      <c r="U15" s="159"/>
      <c r="V15" s="159"/>
      <c r="W15" s="159"/>
      <c r="X15" s="159"/>
      <c r="Y15" s="159"/>
      <c r="Z15" s="152"/>
      <c r="AA15" s="152"/>
      <c r="AB15" s="152"/>
      <c r="AC15" s="152"/>
      <c r="AD15" s="152"/>
      <c r="AE15" s="152"/>
      <c r="AF15" s="152"/>
      <c r="AG15" s="152"/>
      <c r="AH15" s="152"/>
      <c r="AI15" s="202"/>
      <c r="AJ15" s="202"/>
      <c r="AK15" s="225"/>
      <c r="AL15" s="192"/>
      <c r="AM15" s="235"/>
      <c r="AN15" s="159"/>
      <c r="AO15" s="159"/>
      <c r="AP15" s="159"/>
      <c r="AQ15" s="159"/>
      <c r="AR15" s="159"/>
      <c r="AS15" s="152"/>
      <c r="AT15" s="152"/>
      <c r="AU15" s="152"/>
      <c r="AV15" s="152"/>
      <c r="AW15" s="152"/>
      <c r="AX15" s="152"/>
      <c r="AY15" s="152"/>
      <c r="AZ15" s="152"/>
      <c r="BA15" s="152"/>
      <c r="BB15" s="202"/>
      <c r="BC15" s="202"/>
      <c r="BD15" s="225"/>
      <c r="BE15" s="192"/>
      <c r="BF15" s="235"/>
      <c r="BG15" s="159"/>
      <c r="BH15" s="159"/>
      <c r="BI15" s="159"/>
      <c r="BJ15" s="159"/>
      <c r="BK15" s="159"/>
      <c r="BL15" s="152"/>
      <c r="BM15" s="152"/>
      <c r="BN15" s="152"/>
      <c r="BO15" s="152"/>
      <c r="BP15" s="152"/>
      <c r="BQ15" s="152"/>
      <c r="BR15" s="152"/>
      <c r="BS15" s="152"/>
      <c r="BT15" s="152"/>
      <c r="BU15" s="202"/>
      <c r="BV15" s="202"/>
      <c r="BW15" s="225"/>
      <c r="BX15" s="192"/>
      <c r="BY15" s="235"/>
      <c r="BZ15" s="159"/>
      <c r="CA15" s="159"/>
      <c r="CB15" s="159"/>
      <c r="CC15" s="159"/>
      <c r="CD15" s="159"/>
      <c r="CE15" s="152"/>
      <c r="CF15" s="152"/>
      <c r="CG15" s="152"/>
      <c r="CH15" s="152"/>
      <c r="CI15" s="152"/>
      <c r="CJ15" s="152"/>
      <c r="CK15" s="152"/>
      <c r="CL15" s="152"/>
      <c r="CM15" s="152"/>
      <c r="CN15" s="202"/>
      <c r="CO15" s="202"/>
      <c r="CP15" s="225"/>
      <c r="CQ15" s="192"/>
      <c r="CR15" s="359"/>
      <c r="CS15" s="327"/>
      <c r="CT15" s="327"/>
      <c r="CU15" s="327"/>
      <c r="CV15" s="327"/>
      <c r="CW15" s="327"/>
      <c r="CX15" s="327"/>
      <c r="CY15" s="327"/>
      <c r="CZ15" s="327"/>
      <c r="DA15" s="327"/>
      <c r="DB15" s="327"/>
      <c r="DC15" s="327"/>
      <c r="DD15" s="327"/>
      <c r="DE15" s="327"/>
      <c r="DF15" s="327"/>
      <c r="DG15" s="327"/>
      <c r="DH15" s="327"/>
      <c r="DI15" s="357"/>
      <c r="DJ15" s="192"/>
      <c r="DK15" s="192"/>
      <c r="DL15" s="160"/>
      <c r="DM15" s="192"/>
      <c r="DN15" s="192"/>
      <c r="DO15" s="192"/>
      <c r="DP15" s="192"/>
      <c r="DQ15" s="192"/>
      <c r="DR15" s="192"/>
      <c r="DS15" s="208"/>
    </row>
    <row r="16" spans="1:123" ht="15.75" thickBot="1">
      <c r="A16" s="227" t="s">
        <v>37</v>
      </c>
      <c r="B16" s="275">
        <f>F35</f>
        <v>0</v>
      </c>
      <c r="C16" s="159"/>
      <c r="D16" s="34"/>
      <c r="E16" s="33"/>
      <c r="F16" s="451"/>
      <c r="G16" s="460"/>
      <c r="H16" s="33"/>
      <c r="I16" s="33"/>
      <c r="J16" s="33"/>
      <c r="K16" s="33"/>
      <c r="L16" s="33"/>
      <c r="M16" s="276"/>
      <c r="N16" s="159"/>
      <c r="O16" s="159"/>
      <c r="P16" s="248"/>
      <c r="Q16" s="248"/>
      <c r="R16" s="225"/>
      <c r="S16" s="10"/>
      <c r="T16" s="227"/>
      <c r="U16" s="182"/>
      <c r="V16" s="159"/>
      <c r="W16" s="34"/>
      <c r="X16" s="33"/>
      <c r="Y16" s="451"/>
      <c r="Z16" s="452"/>
      <c r="AA16" s="32"/>
      <c r="AB16" s="32"/>
      <c r="AC16" s="32"/>
      <c r="AD16" s="32"/>
      <c r="AE16" s="32"/>
      <c r="AF16" s="31"/>
      <c r="AG16" s="152"/>
      <c r="AH16" s="152"/>
      <c r="AI16" s="202"/>
      <c r="AJ16" s="202"/>
      <c r="AK16" s="225"/>
      <c r="AL16" s="192"/>
      <c r="AM16" s="227"/>
      <c r="AN16" s="182"/>
      <c r="AO16" s="159"/>
      <c r="AP16" s="34"/>
      <c r="AQ16" s="33"/>
      <c r="AR16" s="451"/>
      <c r="AS16" s="452"/>
      <c r="AT16" s="32"/>
      <c r="AU16" s="32"/>
      <c r="AV16" s="32"/>
      <c r="AW16" s="32"/>
      <c r="AX16" s="32"/>
      <c r="AY16" s="31"/>
      <c r="AZ16" s="152"/>
      <c r="BA16" s="152"/>
      <c r="BB16" s="202"/>
      <c r="BC16" s="202"/>
      <c r="BD16" s="225"/>
      <c r="BE16" s="192"/>
      <c r="BF16" s="227"/>
      <c r="BG16" s="182"/>
      <c r="BH16" s="159"/>
      <c r="BI16" s="34"/>
      <c r="BJ16" s="33"/>
      <c r="BK16" s="451"/>
      <c r="BL16" s="452"/>
      <c r="BM16" s="32"/>
      <c r="BN16" s="32"/>
      <c r="BO16" s="32"/>
      <c r="BP16" s="32"/>
      <c r="BQ16" s="32"/>
      <c r="BR16" s="31"/>
      <c r="BS16" s="152"/>
      <c r="BT16" s="152"/>
      <c r="BU16" s="202"/>
      <c r="BV16" s="202"/>
      <c r="BW16" s="225"/>
      <c r="BX16" s="192"/>
      <c r="BY16" s="227"/>
      <c r="BZ16" s="182"/>
      <c r="CA16" s="159"/>
      <c r="CB16" s="34"/>
      <c r="CC16" s="33"/>
      <c r="CD16" s="451"/>
      <c r="CE16" s="452"/>
      <c r="CF16" s="32"/>
      <c r="CG16" s="32"/>
      <c r="CH16" s="32"/>
      <c r="CI16" s="32"/>
      <c r="CJ16" s="32"/>
      <c r="CK16" s="31"/>
      <c r="CL16" s="152"/>
      <c r="CM16" s="152"/>
      <c r="CN16" s="202"/>
      <c r="CO16" s="202"/>
      <c r="CP16" s="225"/>
      <c r="CQ16" s="192"/>
      <c r="CR16" s="330"/>
      <c r="CS16" s="335"/>
      <c r="CT16" s="327"/>
      <c r="CU16" s="360"/>
      <c r="CV16" s="361"/>
      <c r="CW16" s="468"/>
      <c r="CX16" s="469"/>
      <c r="CY16" s="361"/>
      <c r="CZ16" s="361"/>
      <c r="DA16" s="361"/>
      <c r="DB16" s="361"/>
      <c r="DC16" s="361"/>
      <c r="DD16" s="362"/>
      <c r="DE16" s="327"/>
      <c r="DF16" s="327"/>
      <c r="DG16" s="327"/>
      <c r="DH16" s="327"/>
      <c r="DI16" s="357"/>
      <c r="DJ16" s="192"/>
      <c r="DK16" s="192"/>
      <c r="DL16" s="160"/>
      <c r="DM16" s="192"/>
      <c r="DN16" s="192"/>
      <c r="DO16" s="192"/>
      <c r="DP16" s="192"/>
      <c r="DQ16" s="192"/>
      <c r="DR16" s="192"/>
      <c r="DS16" s="208"/>
    </row>
    <row r="17" spans="1:123" ht="15.75" thickBot="1">
      <c r="A17" s="166" t="s">
        <v>40</v>
      </c>
      <c r="B17" s="257">
        <f>O12</f>
        <v>800000</v>
      </c>
      <c r="C17" s="159"/>
      <c r="D17" s="14"/>
      <c r="E17" s="30" t="s">
        <v>239</v>
      </c>
      <c r="F17" s="159"/>
      <c r="G17" s="159"/>
      <c r="H17" s="475" t="s">
        <v>243</v>
      </c>
      <c r="I17" s="476"/>
      <c r="J17" s="159"/>
      <c r="K17" s="30" t="s">
        <v>100</v>
      </c>
      <c r="L17" s="159"/>
      <c r="M17" s="277"/>
      <c r="N17" s="159"/>
      <c r="O17" s="159"/>
      <c r="P17" s="248"/>
      <c r="Q17" s="248"/>
      <c r="R17" s="225"/>
      <c r="S17" s="10"/>
      <c r="T17" s="166"/>
      <c r="U17" s="180"/>
      <c r="V17" s="159"/>
      <c r="W17" s="14"/>
      <c r="X17" s="30"/>
      <c r="Y17" s="159"/>
      <c r="Z17" s="152"/>
      <c r="AA17" s="29"/>
      <c r="AB17" s="152"/>
      <c r="AC17" s="152"/>
      <c r="AD17" s="29"/>
      <c r="AE17" s="152"/>
      <c r="AF17" s="13"/>
      <c r="AG17" s="152"/>
      <c r="AH17" s="152"/>
      <c r="AI17" s="202"/>
      <c r="AJ17" s="202"/>
      <c r="AK17" s="225"/>
      <c r="AL17" s="192"/>
      <c r="AM17" s="166"/>
      <c r="AN17" s="180"/>
      <c r="AO17" s="159"/>
      <c r="AP17" s="14"/>
      <c r="AQ17" s="30"/>
      <c r="AR17" s="159"/>
      <c r="AS17" s="152"/>
      <c r="AT17" s="29"/>
      <c r="AU17" s="152"/>
      <c r="AV17" s="152"/>
      <c r="AW17" s="29"/>
      <c r="AX17" s="152"/>
      <c r="AY17" s="13"/>
      <c r="AZ17" s="152"/>
      <c r="BA17" s="152"/>
      <c r="BB17" s="202"/>
      <c r="BC17" s="202"/>
      <c r="BD17" s="225"/>
      <c r="BE17" s="192"/>
      <c r="BF17" s="166"/>
      <c r="BG17" s="180"/>
      <c r="BH17" s="159"/>
      <c r="BI17" s="14"/>
      <c r="BJ17" s="30"/>
      <c r="BK17" s="159"/>
      <c r="BL17" s="152"/>
      <c r="BM17" s="29"/>
      <c r="BN17" s="152"/>
      <c r="BO17" s="152"/>
      <c r="BP17" s="29"/>
      <c r="BQ17" s="152"/>
      <c r="BR17" s="13"/>
      <c r="BS17" s="152"/>
      <c r="BT17" s="152"/>
      <c r="BU17" s="202"/>
      <c r="BV17" s="202"/>
      <c r="BW17" s="225"/>
      <c r="BX17" s="192"/>
      <c r="BY17" s="166"/>
      <c r="BZ17" s="180"/>
      <c r="CA17" s="159"/>
      <c r="CB17" s="14"/>
      <c r="CC17" s="30"/>
      <c r="CD17" s="159"/>
      <c r="CE17" s="152"/>
      <c r="CF17" s="29"/>
      <c r="CG17" s="152"/>
      <c r="CH17" s="152"/>
      <c r="CI17" s="29"/>
      <c r="CJ17" s="152"/>
      <c r="CK17" s="13"/>
      <c r="CL17" s="152"/>
      <c r="CM17" s="152"/>
      <c r="CN17" s="202"/>
      <c r="CO17" s="202"/>
      <c r="CP17" s="225"/>
      <c r="CQ17" s="192"/>
      <c r="CR17" s="337"/>
      <c r="CS17" s="338"/>
      <c r="CT17" s="327"/>
      <c r="CU17" s="363"/>
      <c r="CV17" s="364"/>
      <c r="CW17" s="327"/>
      <c r="CX17" s="327"/>
      <c r="CY17" s="364"/>
      <c r="CZ17" s="327"/>
      <c r="DA17" s="327"/>
      <c r="DB17" s="364"/>
      <c r="DC17" s="327"/>
      <c r="DD17" s="365"/>
      <c r="DE17" s="327"/>
      <c r="DF17" s="327"/>
      <c r="DG17" s="327"/>
      <c r="DH17" s="327"/>
      <c r="DI17" s="357"/>
      <c r="DJ17" s="192"/>
      <c r="DK17" s="192"/>
      <c r="DL17" s="160"/>
      <c r="DM17" s="215"/>
      <c r="DN17" s="215"/>
      <c r="DO17" s="215"/>
      <c r="DP17" s="215"/>
      <c r="DQ17" s="215"/>
      <c r="DR17" s="215"/>
      <c r="DS17" s="208"/>
    </row>
    <row r="18" spans="1:123">
      <c r="A18" s="166" t="s">
        <v>39</v>
      </c>
      <c r="B18" s="257">
        <f>R12</f>
        <v>1400000</v>
      </c>
      <c r="C18" s="159"/>
      <c r="D18" s="14"/>
      <c r="E18" s="9" t="s">
        <v>246</v>
      </c>
      <c r="F18" s="7">
        <v>1000000</v>
      </c>
      <c r="G18" s="159"/>
      <c r="H18" s="253" t="s">
        <v>251</v>
      </c>
      <c r="I18" s="22">
        <v>600000</v>
      </c>
      <c r="J18" s="159"/>
      <c r="K18" s="253" t="s">
        <v>256</v>
      </c>
      <c r="L18" s="22">
        <v>400000</v>
      </c>
      <c r="M18" s="277"/>
      <c r="N18" s="159"/>
      <c r="O18" s="159"/>
      <c r="P18" s="248"/>
      <c r="Q18" s="248"/>
      <c r="R18" s="225"/>
      <c r="S18" s="10"/>
      <c r="T18" s="166"/>
      <c r="U18" s="180"/>
      <c r="V18" s="159"/>
      <c r="W18" s="14"/>
      <c r="X18" s="9"/>
      <c r="Y18" s="7"/>
      <c r="Z18" s="152"/>
      <c r="AA18" s="23"/>
      <c r="AB18" s="3"/>
      <c r="AC18" s="152"/>
      <c r="AD18" s="23"/>
      <c r="AE18" s="3"/>
      <c r="AF18" s="13"/>
      <c r="AG18" s="152"/>
      <c r="AH18" s="152"/>
      <c r="AI18" s="202"/>
      <c r="AJ18" s="202"/>
      <c r="AK18" s="225"/>
      <c r="AL18" s="192"/>
      <c r="AM18" s="166"/>
      <c r="AN18" s="180"/>
      <c r="AO18" s="159"/>
      <c r="AP18" s="14"/>
      <c r="AQ18" s="9"/>
      <c r="AR18" s="278"/>
      <c r="AS18" s="159"/>
      <c r="AT18" s="253"/>
      <c r="AU18" s="182"/>
      <c r="AV18" s="159"/>
      <c r="AW18" s="253"/>
      <c r="AX18" s="182"/>
      <c r="AY18" s="13"/>
      <c r="AZ18" s="152"/>
      <c r="BA18" s="152"/>
      <c r="BB18" s="202"/>
      <c r="BC18" s="202"/>
      <c r="BD18" s="225"/>
      <c r="BE18" s="192"/>
      <c r="BF18" s="166"/>
      <c r="BG18" s="180"/>
      <c r="BH18" s="159"/>
      <c r="BI18" s="14"/>
      <c r="BJ18" s="9"/>
      <c r="BK18" s="7"/>
      <c r="BL18" s="152"/>
      <c r="BM18" s="23"/>
      <c r="BN18" s="3"/>
      <c r="BO18" s="152"/>
      <c r="BP18" s="23"/>
      <c r="BQ18" s="3"/>
      <c r="BR18" s="13"/>
      <c r="BS18" s="152"/>
      <c r="BT18" s="152"/>
      <c r="BU18" s="202"/>
      <c r="BV18" s="202"/>
      <c r="BW18" s="225"/>
      <c r="BX18" s="192"/>
      <c r="BY18" s="166"/>
      <c r="BZ18" s="180"/>
      <c r="CA18" s="159"/>
      <c r="CB18" s="14"/>
      <c r="CC18" s="9"/>
      <c r="CD18" s="7"/>
      <c r="CE18" s="152"/>
      <c r="CF18" s="23"/>
      <c r="CG18" s="3"/>
      <c r="CH18" s="152"/>
      <c r="CI18" s="23"/>
      <c r="CJ18" s="3"/>
      <c r="CK18" s="13"/>
      <c r="CL18" s="152"/>
      <c r="CM18" s="152"/>
      <c r="CN18" s="202"/>
      <c r="CO18" s="202"/>
      <c r="CP18" s="225"/>
      <c r="CQ18" s="192"/>
      <c r="CR18" s="337"/>
      <c r="CS18" s="338"/>
      <c r="CT18" s="327"/>
      <c r="CU18" s="363"/>
      <c r="CV18" s="366"/>
      <c r="CW18" s="367"/>
      <c r="CX18" s="327"/>
      <c r="CY18" s="334"/>
      <c r="CZ18" s="335"/>
      <c r="DA18" s="327"/>
      <c r="DB18" s="334"/>
      <c r="DC18" s="335"/>
      <c r="DD18" s="365"/>
      <c r="DE18" s="327"/>
      <c r="DF18" s="327"/>
      <c r="DG18" s="327"/>
      <c r="DH18" s="327"/>
      <c r="DI18" s="357"/>
      <c r="DJ18" s="192"/>
      <c r="DK18" s="192"/>
      <c r="DL18" s="160"/>
      <c r="DM18" s="215"/>
      <c r="DN18" s="215"/>
      <c r="DO18" s="215"/>
      <c r="DP18" s="215"/>
      <c r="DQ18" s="215"/>
      <c r="DR18" s="215"/>
      <c r="DS18" s="208"/>
    </row>
    <row r="19" spans="1:123">
      <c r="A19" s="236" t="s">
        <v>46</v>
      </c>
      <c r="B19" s="279">
        <f>I14+F14</f>
        <v>871172</v>
      </c>
      <c r="C19" s="159"/>
      <c r="D19" s="14"/>
      <c r="E19" s="7" t="s">
        <v>247</v>
      </c>
      <c r="F19" s="7">
        <v>1000000</v>
      </c>
      <c r="G19" s="159"/>
      <c r="H19" s="19" t="s">
        <v>252</v>
      </c>
      <c r="I19" s="18">
        <v>500000</v>
      </c>
      <c r="J19" s="159"/>
      <c r="K19" s="19" t="s">
        <v>257</v>
      </c>
      <c r="L19" s="18">
        <v>400000</v>
      </c>
      <c r="M19" s="277"/>
      <c r="N19" s="159"/>
      <c r="O19" s="159"/>
      <c r="P19" s="248"/>
      <c r="Q19" s="248"/>
      <c r="R19" s="225"/>
      <c r="S19" s="10"/>
      <c r="T19" s="236"/>
      <c r="U19" s="186"/>
      <c r="V19" s="159"/>
      <c r="W19" s="14"/>
      <c r="X19" s="7"/>
      <c r="Y19" s="7"/>
      <c r="Z19" s="152"/>
      <c r="AA19" s="5"/>
      <c r="AB19" s="4"/>
      <c r="AC19" s="152"/>
      <c r="AD19" s="5"/>
      <c r="AE19" s="4"/>
      <c r="AF19" s="13"/>
      <c r="AG19" s="152"/>
      <c r="AH19" s="152"/>
      <c r="AI19" s="202"/>
      <c r="AJ19" s="202"/>
      <c r="AK19" s="225"/>
      <c r="AL19" s="192"/>
      <c r="AM19" s="236"/>
      <c r="AN19" s="186"/>
      <c r="AO19" s="159"/>
      <c r="AP19" s="14"/>
      <c r="AQ19" s="7"/>
      <c r="AR19" s="278"/>
      <c r="AS19" s="159"/>
      <c r="AT19" s="19"/>
      <c r="AU19" s="180"/>
      <c r="AV19" s="159"/>
      <c r="AW19" s="19"/>
      <c r="AX19" s="180"/>
      <c r="AY19" s="13"/>
      <c r="AZ19" s="152"/>
      <c r="BA19" s="152"/>
      <c r="BB19" s="202"/>
      <c r="BC19" s="202"/>
      <c r="BD19" s="225"/>
      <c r="BE19" s="192"/>
      <c r="BF19" s="236"/>
      <c r="BG19" s="186"/>
      <c r="BH19" s="159"/>
      <c r="BI19" s="14"/>
      <c r="BJ19" s="7"/>
      <c r="BK19" s="7"/>
      <c r="BL19" s="152"/>
      <c r="BM19" s="5"/>
      <c r="BN19" s="4"/>
      <c r="BO19" s="152"/>
      <c r="BP19" s="5"/>
      <c r="BQ19" s="4"/>
      <c r="BR19" s="13"/>
      <c r="BS19" s="152"/>
      <c r="BT19" s="152"/>
      <c r="BU19" s="202"/>
      <c r="BV19" s="202"/>
      <c r="BW19" s="225"/>
      <c r="BX19" s="192"/>
      <c r="BY19" s="236"/>
      <c r="BZ19" s="186"/>
      <c r="CA19" s="159"/>
      <c r="CB19" s="14"/>
      <c r="CC19" s="7"/>
      <c r="CD19" s="7"/>
      <c r="CE19" s="152"/>
      <c r="CF19" s="5"/>
      <c r="CG19" s="4"/>
      <c r="CH19" s="152"/>
      <c r="CI19" s="5"/>
      <c r="CJ19" s="4"/>
      <c r="CK19" s="13"/>
      <c r="CL19" s="152"/>
      <c r="CM19" s="152"/>
      <c r="CN19" s="202"/>
      <c r="CO19" s="202"/>
      <c r="CP19" s="225"/>
      <c r="CQ19" s="192"/>
      <c r="CR19" s="368"/>
      <c r="CS19" s="369"/>
      <c r="CT19" s="327"/>
      <c r="CU19" s="363"/>
      <c r="CV19" s="367"/>
      <c r="CW19" s="367"/>
      <c r="CX19" s="327"/>
      <c r="CY19" s="341"/>
      <c r="CZ19" s="338"/>
      <c r="DA19" s="327"/>
      <c r="DB19" s="341"/>
      <c r="DC19" s="338"/>
      <c r="DD19" s="365"/>
      <c r="DE19" s="327"/>
      <c r="DF19" s="327"/>
      <c r="DG19" s="327"/>
      <c r="DH19" s="327"/>
      <c r="DI19" s="357"/>
      <c r="DJ19" s="192"/>
      <c r="DK19" s="192"/>
      <c r="DL19" s="160"/>
      <c r="DM19" s="215"/>
      <c r="DN19" s="215"/>
      <c r="DO19" s="215"/>
      <c r="DP19" s="215"/>
      <c r="DQ19" s="215"/>
      <c r="DR19" s="215"/>
      <c r="DS19" s="208"/>
    </row>
    <row r="20" spans="1:123" ht="15.75" thickBot="1">
      <c r="A20" s="230" t="s">
        <v>38</v>
      </c>
      <c r="B20" s="261">
        <f>L14</f>
        <v>50000</v>
      </c>
      <c r="C20" s="159"/>
      <c r="D20" s="14"/>
      <c r="E20" s="7" t="s">
        <v>248</v>
      </c>
      <c r="F20" s="7">
        <v>1000000</v>
      </c>
      <c r="G20" s="159"/>
      <c r="H20" s="19" t="s">
        <v>253</v>
      </c>
      <c r="I20" s="18">
        <v>300000</v>
      </c>
      <c r="J20" s="159"/>
      <c r="K20" s="19" t="s">
        <v>258</v>
      </c>
      <c r="L20" s="18">
        <v>400000</v>
      </c>
      <c r="M20" s="277"/>
      <c r="N20" s="159"/>
      <c r="O20" s="159"/>
      <c r="P20" s="248"/>
      <c r="Q20" s="248"/>
      <c r="R20" s="225"/>
      <c r="S20" s="10"/>
      <c r="T20" s="237"/>
      <c r="U20" s="181"/>
      <c r="V20" s="159"/>
      <c r="W20" s="14"/>
      <c r="X20" s="7"/>
      <c r="Y20" s="7"/>
      <c r="Z20" s="152"/>
      <c r="AA20" s="5"/>
      <c r="AB20" s="4"/>
      <c r="AC20" s="152"/>
      <c r="AD20" s="5"/>
      <c r="AE20" s="4"/>
      <c r="AF20" s="13"/>
      <c r="AG20" s="152"/>
      <c r="AH20" s="152"/>
      <c r="AI20" s="202"/>
      <c r="AJ20" s="202"/>
      <c r="AK20" s="225"/>
      <c r="AL20" s="192"/>
      <c r="AM20" s="237"/>
      <c r="AN20" s="181"/>
      <c r="AO20" s="159"/>
      <c r="AP20" s="14"/>
      <c r="AQ20" s="7"/>
      <c r="AR20" s="278"/>
      <c r="AS20" s="159"/>
      <c r="AT20" s="19"/>
      <c r="AU20" s="180"/>
      <c r="AV20" s="159"/>
      <c r="AW20" s="19"/>
      <c r="AX20" s="180"/>
      <c r="AY20" s="13"/>
      <c r="AZ20" s="152"/>
      <c r="BA20" s="152"/>
      <c r="BB20" s="202"/>
      <c r="BC20" s="202"/>
      <c r="BD20" s="225"/>
      <c r="BE20" s="192"/>
      <c r="BF20" s="237"/>
      <c r="BG20" s="181"/>
      <c r="BH20" s="159"/>
      <c r="BI20" s="14"/>
      <c r="BJ20" s="7"/>
      <c r="BK20" s="7"/>
      <c r="BL20" s="152"/>
      <c r="BM20" s="5"/>
      <c r="BN20" s="4"/>
      <c r="BO20" s="152"/>
      <c r="BP20" s="5"/>
      <c r="BQ20" s="4"/>
      <c r="BR20" s="13"/>
      <c r="BS20" s="152"/>
      <c r="BT20" s="152"/>
      <c r="BU20" s="202"/>
      <c r="BV20" s="202"/>
      <c r="BW20" s="225"/>
      <c r="BX20" s="192"/>
      <c r="BY20" s="237"/>
      <c r="BZ20" s="181"/>
      <c r="CA20" s="159"/>
      <c r="CB20" s="14"/>
      <c r="CC20" s="7"/>
      <c r="CD20" s="7"/>
      <c r="CE20" s="152"/>
      <c r="CF20" s="5"/>
      <c r="CG20" s="4"/>
      <c r="CH20" s="152"/>
      <c r="CI20" s="5"/>
      <c r="CJ20" s="4"/>
      <c r="CK20" s="13"/>
      <c r="CL20" s="152"/>
      <c r="CM20" s="152"/>
      <c r="CN20" s="202"/>
      <c r="CO20" s="202"/>
      <c r="CP20" s="225"/>
      <c r="CQ20" s="192"/>
      <c r="CR20" s="343"/>
      <c r="CS20" s="344"/>
      <c r="CT20" s="327"/>
      <c r="CU20" s="363"/>
      <c r="CV20" s="367"/>
      <c r="CW20" s="367"/>
      <c r="CX20" s="327"/>
      <c r="CY20" s="341"/>
      <c r="CZ20" s="338"/>
      <c r="DA20" s="327"/>
      <c r="DB20" s="341"/>
      <c r="DC20" s="338"/>
      <c r="DD20" s="365"/>
      <c r="DE20" s="327"/>
      <c r="DF20" s="327"/>
      <c r="DG20" s="327"/>
      <c r="DH20" s="327"/>
      <c r="DI20" s="357"/>
      <c r="DJ20" s="192"/>
      <c r="DK20" s="192"/>
      <c r="DL20" s="160"/>
      <c r="DM20" s="215"/>
      <c r="DN20" s="215"/>
      <c r="DO20" s="215"/>
      <c r="DP20" s="215"/>
      <c r="DQ20" s="215"/>
      <c r="DR20" s="215"/>
      <c r="DS20" s="208"/>
    </row>
    <row r="21" spans="1:123" ht="15.75" customHeight="1" thickBot="1">
      <c r="A21" s="238" t="s">
        <v>27</v>
      </c>
      <c r="B21" s="270">
        <f>SUM(B16:B20)</f>
        <v>3121172</v>
      </c>
      <c r="C21" s="159"/>
      <c r="D21" s="14"/>
      <c r="E21" s="7" t="s">
        <v>249</v>
      </c>
      <c r="F21" s="7">
        <v>1000000</v>
      </c>
      <c r="G21" s="159"/>
      <c r="H21" s="19" t="s">
        <v>254</v>
      </c>
      <c r="I21" s="18">
        <v>400000</v>
      </c>
      <c r="J21" s="159"/>
      <c r="K21" s="19" t="s">
        <v>259</v>
      </c>
      <c r="L21" s="18">
        <v>400000</v>
      </c>
      <c r="M21" s="277"/>
      <c r="N21" s="159"/>
      <c r="O21" s="159"/>
      <c r="P21" s="248"/>
      <c r="Q21" s="248"/>
      <c r="R21" s="225"/>
      <c r="S21" s="10"/>
      <c r="T21" s="238"/>
      <c r="U21" s="183"/>
      <c r="V21" s="159"/>
      <c r="W21" s="14"/>
      <c r="X21" s="7"/>
      <c r="Y21" s="7"/>
      <c r="Z21" s="152"/>
      <c r="AA21" s="19"/>
      <c r="AB21" s="4"/>
      <c r="AC21" s="152"/>
      <c r="AD21" s="5"/>
      <c r="AE21" s="4"/>
      <c r="AF21" s="13"/>
      <c r="AG21" s="152"/>
      <c r="AH21" s="152"/>
      <c r="AI21" s="202"/>
      <c r="AJ21" s="202"/>
      <c r="AK21" s="225"/>
      <c r="AL21" s="192"/>
      <c r="AM21" s="238"/>
      <c r="AN21" s="183"/>
      <c r="AO21" s="159"/>
      <c r="AP21" s="14"/>
      <c r="AQ21" s="7"/>
      <c r="AR21" s="278"/>
      <c r="AS21" s="159"/>
      <c r="AT21" s="19"/>
      <c r="AU21" s="180"/>
      <c r="AV21" s="159"/>
      <c r="AW21" s="19"/>
      <c r="AX21" s="180"/>
      <c r="AY21" s="13"/>
      <c r="AZ21" s="152"/>
      <c r="BA21" s="152"/>
      <c r="BB21" s="202"/>
      <c r="BC21" s="202"/>
      <c r="BD21" s="225"/>
      <c r="BE21" s="192"/>
      <c r="BF21" s="238"/>
      <c r="BG21" s="183"/>
      <c r="BH21" s="159"/>
      <c r="BI21" s="14"/>
      <c r="BJ21" s="7"/>
      <c r="BK21" s="7"/>
      <c r="BL21" s="152"/>
      <c r="BM21" s="19"/>
      <c r="BN21" s="4"/>
      <c r="BO21" s="152"/>
      <c r="BP21" s="5"/>
      <c r="BQ21" s="4"/>
      <c r="BR21" s="13"/>
      <c r="BS21" s="152"/>
      <c r="BT21" s="152"/>
      <c r="BU21" s="202"/>
      <c r="BV21" s="202"/>
      <c r="BW21" s="225"/>
      <c r="BX21" s="192"/>
      <c r="BY21" s="238"/>
      <c r="BZ21" s="183"/>
      <c r="CA21" s="159"/>
      <c r="CB21" s="14"/>
      <c r="CC21" s="7"/>
      <c r="CD21" s="7"/>
      <c r="CE21" s="152"/>
      <c r="CF21" s="19"/>
      <c r="CG21" s="4"/>
      <c r="CH21" s="152"/>
      <c r="CI21" s="5"/>
      <c r="CJ21" s="4"/>
      <c r="CK21" s="13"/>
      <c r="CL21" s="152"/>
      <c r="CM21" s="152"/>
      <c r="CN21" s="202"/>
      <c r="CO21" s="202"/>
      <c r="CP21" s="225"/>
      <c r="CQ21" s="192"/>
      <c r="CR21" s="370"/>
      <c r="CS21" s="351"/>
      <c r="CT21" s="327"/>
      <c r="CU21" s="363"/>
      <c r="CV21" s="367"/>
      <c r="CW21" s="367"/>
      <c r="CX21" s="327"/>
      <c r="CY21" s="341"/>
      <c r="CZ21" s="338"/>
      <c r="DA21" s="327"/>
      <c r="DB21" s="341"/>
      <c r="DC21" s="338"/>
      <c r="DD21" s="365"/>
      <c r="DE21" s="327"/>
      <c r="DF21" s="327"/>
      <c r="DG21" s="327"/>
      <c r="DH21" s="327"/>
      <c r="DI21" s="357"/>
      <c r="DJ21" s="192"/>
      <c r="DK21" s="192"/>
      <c r="DL21" s="160"/>
      <c r="DM21" s="215"/>
      <c r="DN21" s="215"/>
      <c r="DO21" s="215"/>
      <c r="DP21" s="215"/>
      <c r="DQ21" s="215"/>
      <c r="DR21" s="215"/>
      <c r="DS21" s="208"/>
    </row>
    <row r="22" spans="1:123" ht="15.75" customHeight="1" thickBot="1">
      <c r="A22" s="272"/>
      <c r="B22" s="273"/>
      <c r="C22" s="159"/>
      <c r="D22" s="14"/>
      <c r="E22" s="7" t="s">
        <v>250</v>
      </c>
      <c r="F22" s="7">
        <v>400000</v>
      </c>
      <c r="G22" s="159"/>
      <c r="H22" s="19" t="s">
        <v>255</v>
      </c>
      <c r="I22" s="18">
        <v>400000</v>
      </c>
      <c r="J22" s="159"/>
      <c r="K22" s="19"/>
      <c r="L22" s="18"/>
      <c r="M22" s="277"/>
      <c r="N22" s="159"/>
      <c r="O22" s="159"/>
      <c r="P22" s="248"/>
      <c r="Q22" s="248"/>
      <c r="R22" s="225"/>
      <c r="S22" s="10"/>
      <c r="T22" s="234"/>
      <c r="U22" s="203"/>
      <c r="V22" s="159"/>
      <c r="W22" s="14"/>
      <c r="X22" s="7"/>
      <c r="Y22" s="7"/>
      <c r="Z22" s="152"/>
      <c r="AA22" s="19"/>
      <c r="AB22" s="4"/>
      <c r="AC22" s="152"/>
      <c r="AD22" s="5"/>
      <c r="AE22" s="4"/>
      <c r="AF22" s="13"/>
      <c r="AG22" s="152"/>
      <c r="AH22" s="152"/>
      <c r="AI22" s="202"/>
      <c r="AJ22" s="202"/>
      <c r="AK22" s="225"/>
      <c r="AL22" s="192"/>
      <c r="AM22" s="234"/>
      <c r="AN22" s="203"/>
      <c r="AO22" s="159"/>
      <c r="AP22" s="14"/>
      <c r="AQ22" s="7"/>
      <c r="AR22" s="278"/>
      <c r="AS22" s="159"/>
      <c r="AT22" s="19"/>
      <c r="AU22" s="180"/>
      <c r="AV22" s="159"/>
      <c r="AW22" s="19"/>
      <c r="AX22" s="180"/>
      <c r="AY22" s="13"/>
      <c r="AZ22" s="152"/>
      <c r="BA22" s="152"/>
      <c r="BB22" s="202"/>
      <c r="BC22" s="202"/>
      <c r="BD22" s="225"/>
      <c r="BE22" s="192"/>
      <c r="BF22" s="234"/>
      <c r="BG22" s="203"/>
      <c r="BH22" s="159"/>
      <c r="BI22" s="14"/>
      <c r="BJ22" s="7"/>
      <c r="BK22" s="7"/>
      <c r="BL22" s="152"/>
      <c r="BM22" s="19"/>
      <c r="BN22" s="4"/>
      <c r="BO22" s="152"/>
      <c r="BP22" s="5"/>
      <c r="BQ22" s="4"/>
      <c r="BR22" s="13"/>
      <c r="BS22" s="152"/>
      <c r="BT22" s="152"/>
      <c r="BU22" s="202"/>
      <c r="BV22" s="202"/>
      <c r="BW22" s="225"/>
      <c r="BX22" s="192"/>
      <c r="BY22" s="234"/>
      <c r="BZ22" s="203"/>
      <c r="CA22" s="159"/>
      <c r="CB22" s="14"/>
      <c r="CC22" s="7"/>
      <c r="CD22" s="7"/>
      <c r="CE22" s="152"/>
      <c r="CF22" s="19"/>
      <c r="CG22" s="4"/>
      <c r="CH22" s="152"/>
      <c r="CI22" s="5"/>
      <c r="CJ22" s="4"/>
      <c r="CK22" s="13"/>
      <c r="CL22" s="152"/>
      <c r="CM22" s="152"/>
      <c r="CN22" s="202"/>
      <c r="CO22" s="202"/>
      <c r="CP22" s="225"/>
      <c r="CQ22" s="192"/>
      <c r="CR22" s="353"/>
      <c r="CS22" s="354"/>
      <c r="CT22" s="327"/>
      <c r="CU22" s="363"/>
      <c r="CV22" s="367"/>
      <c r="CW22" s="367"/>
      <c r="CX22" s="327"/>
      <c r="CY22" s="341"/>
      <c r="CZ22" s="338"/>
      <c r="DA22" s="327"/>
      <c r="DB22" s="341"/>
      <c r="DC22" s="338"/>
      <c r="DD22" s="365"/>
      <c r="DE22" s="327"/>
      <c r="DF22" s="327"/>
      <c r="DG22" s="327"/>
      <c r="DH22" s="327"/>
      <c r="DI22" s="357"/>
      <c r="DJ22" s="192"/>
      <c r="DK22" s="192"/>
      <c r="DL22" s="192"/>
      <c r="DM22" s="215"/>
      <c r="DN22" s="215"/>
      <c r="DO22" s="215"/>
      <c r="DP22" s="215"/>
      <c r="DQ22" s="215"/>
      <c r="DR22" s="215"/>
      <c r="DS22" s="208"/>
    </row>
    <row r="23" spans="1:123" ht="15.75" customHeight="1" thickBot="1">
      <c r="A23" s="280" t="s">
        <v>26</v>
      </c>
      <c r="B23" s="273"/>
      <c r="C23" s="159"/>
      <c r="D23" s="14"/>
      <c r="E23" s="7"/>
      <c r="F23" s="7"/>
      <c r="G23" s="159"/>
      <c r="H23" s="19" t="s">
        <v>260</v>
      </c>
      <c r="I23" s="18">
        <v>600000</v>
      </c>
      <c r="J23" s="159"/>
      <c r="K23" s="19"/>
      <c r="L23" s="18"/>
      <c r="M23" s="277"/>
      <c r="N23" s="159"/>
      <c r="O23" s="159"/>
      <c r="P23" s="248"/>
      <c r="Q23" s="248"/>
      <c r="R23" s="225"/>
      <c r="S23" s="10"/>
      <c r="T23" s="217"/>
      <c r="U23" s="203"/>
      <c r="V23" s="159"/>
      <c r="W23" s="14"/>
      <c r="X23" s="7"/>
      <c r="Y23" s="7"/>
      <c r="Z23" s="152"/>
      <c r="AA23" s="5"/>
      <c r="AB23" s="4"/>
      <c r="AC23" s="152"/>
      <c r="AD23" s="5"/>
      <c r="AE23" s="4"/>
      <c r="AF23" s="13"/>
      <c r="AG23" s="152"/>
      <c r="AH23" s="152"/>
      <c r="AI23" s="202"/>
      <c r="AJ23" s="202"/>
      <c r="AK23" s="225"/>
      <c r="AL23" s="192"/>
      <c r="AM23" s="217"/>
      <c r="AN23" s="203"/>
      <c r="AO23" s="159"/>
      <c r="AP23" s="14"/>
      <c r="AQ23" s="7"/>
      <c r="AR23" s="278"/>
      <c r="AS23" s="159"/>
      <c r="AT23" s="19"/>
      <c r="AU23" s="180"/>
      <c r="AV23" s="159"/>
      <c r="AW23" s="19"/>
      <c r="AX23" s="180"/>
      <c r="AY23" s="13"/>
      <c r="AZ23" s="152"/>
      <c r="BA23" s="152"/>
      <c r="BB23" s="202"/>
      <c r="BC23" s="202"/>
      <c r="BD23" s="225"/>
      <c r="BE23" s="192"/>
      <c r="BF23" s="217"/>
      <c r="BG23" s="203"/>
      <c r="BH23" s="159"/>
      <c r="BI23" s="14"/>
      <c r="BJ23" s="7"/>
      <c r="BK23" s="7"/>
      <c r="BL23" s="152"/>
      <c r="BM23" s="5"/>
      <c r="BN23" s="4"/>
      <c r="BO23" s="152"/>
      <c r="BP23" s="5"/>
      <c r="BQ23" s="4"/>
      <c r="BR23" s="13"/>
      <c r="BS23" s="152"/>
      <c r="BT23" s="152"/>
      <c r="BU23" s="202"/>
      <c r="BV23" s="202"/>
      <c r="BW23" s="225"/>
      <c r="BX23" s="192"/>
      <c r="BY23" s="217"/>
      <c r="BZ23" s="203"/>
      <c r="CA23" s="159"/>
      <c r="CB23" s="14"/>
      <c r="CC23" s="7"/>
      <c r="CD23" s="7"/>
      <c r="CE23" s="152"/>
      <c r="CF23" s="5"/>
      <c r="CG23" s="4"/>
      <c r="CH23" s="152"/>
      <c r="CI23" s="5"/>
      <c r="CJ23" s="4"/>
      <c r="CK23" s="13"/>
      <c r="CL23" s="152"/>
      <c r="CM23" s="152"/>
      <c r="CN23" s="202"/>
      <c r="CO23" s="202"/>
      <c r="CP23" s="225"/>
      <c r="CQ23" s="192"/>
      <c r="CR23" s="371"/>
      <c r="CS23" s="354"/>
      <c r="CT23" s="327"/>
      <c r="CU23" s="363"/>
      <c r="CV23" s="367"/>
      <c r="CW23" s="367"/>
      <c r="CX23" s="327"/>
      <c r="CY23" s="341"/>
      <c r="CZ23" s="338"/>
      <c r="DA23" s="327"/>
      <c r="DB23" s="341"/>
      <c r="DC23" s="338"/>
      <c r="DD23" s="365"/>
      <c r="DE23" s="327"/>
      <c r="DF23" s="327"/>
      <c r="DG23" s="327"/>
      <c r="DH23" s="327"/>
      <c r="DI23" s="357"/>
      <c r="DJ23" s="192"/>
      <c r="DK23" s="192"/>
      <c r="DL23" s="192"/>
      <c r="DM23" s="215"/>
      <c r="DN23" s="215"/>
      <c r="DO23" s="215"/>
      <c r="DP23" s="215"/>
      <c r="DQ23" s="215"/>
      <c r="DR23" s="215"/>
      <c r="DS23" s="208"/>
    </row>
    <row r="24" spans="1:123" ht="15.75" customHeight="1">
      <c r="A24" s="144" t="s">
        <v>25</v>
      </c>
      <c r="B24" s="281">
        <f>I27</f>
        <v>3200000</v>
      </c>
      <c r="C24" s="159"/>
      <c r="D24" s="14"/>
      <c r="E24" s="7"/>
      <c r="F24" s="7"/>
      <c r="G24" s="159"/>
      <c r="H24" s="19" t="s">
        <v>247</v>
      </c>
      <c r="I24" s="18">
        <v>400000</v>
      </c>
      <c r="J24" s="159"/>
      <c r="K24" s="19"/>
      <c r="L24" s="18"/>
      <c r="M24" s="277"/>
      <c r="N24" s="159"/>
      <c r="O24" s="159"/>
      <c r="P24" s="248"/>
      <c r="Q24" s="248"/>
      <c r="R24" s="225"/>
      <c r="S24" s="10"/>
      <c r="T24" s="144"/>
      <c r="U24" s="184"/>
      <c r="V24" s="159"/>
      <c r="W24" s="14"/>
      <c r="X24" s="7"/>
      <c r="Y24" s="7"/>
      <c r="Z24" s="152"/>
      <c r="AA24" s="5"/>
      <c r="AB24" s="4"/>
      <c r="AC24" s="152"/>
      <c r="AD24" s="5"/>
      <c r="AE24" s="4"/>
      <c r="AF24" s="13"/>
      <c r="AG24" s="152"/>
      <c r="AH24" s="152"/>
      <c r="AI24" s="202"/>
      <c r="AJ24" s="202"/>
      <c r="AK24" s="225"/>
      <c r="AL24" s="192"/>
      <c r="AM24" s="144"/>
      <c r="AN24" s="184"/>
      <c r="AO24" s="159"/>
      <c r="AP24" s="14"/>
      <c r="AQ24" s="7"/>
      <c r="AR24" s="278"/>
      <c r="AS24" s="159"/>
      <c r="AT24" s="19"/>
      <c r="AU24" s="180"/>
      <c r="AV24" s="159"/>
      <c r="AW24" s="19"/>
      <c r="AX24" s="180"/>
      <c r="AY24" s="13"/>
      <c r="AZ24" s="152"/>
      <c r="BA24" s="152"/>
      <c r="BB24" s="202"/>
      <c r="BC24" s="202"/>
      <c r="BD24" s="225"/>
      <c r="BE24" s="192"/>
      <c r="BF24" s="144"/>
      <c r="BG24" s="184"/>
      <c r="BH24" s="159"/>
      <c r="BI24" s="14"/>
      <c r="BJ24" s="7"/>
      <c r="BK24" s="7"/>
      <c r="BL24" s="152"/>
      <c r="BM24" s="5"/>
      <c r="BN24" s="4"/>
      <c r="BO24" s="152"/>
      <c r="BP24" s="5"/>
      <c r="BQ24" s="4"/>
      <c r="BR24" s="13"/>
      <c r="BS24" s="152"/>
      <c r="BT24" s="152"/>
      <c r="BU24" s="202"/>
      <c r="BV24" s="202"/>
      <c r="BW24" s="225"/>
      <c r="BX24" s="192"/>
      <c r="BY24" s="144"/>
      <c r="BZ24" s="184"/>
      <c r="CA24" s="159"/>
      <c r="CB24" s="14"/>
      <c r="CC24" s="7"/>
      <c r="CD24" s="7"/>
      <c r="CE24" s="152"/>
      <c r="CF24" s="5"/>
      <c r="CG24" s="4"/>
      <c r="CH24" s="152"/>
      <c r="CI24" s="5"/>
      <c r="CJ24" s="4"/>
      <c r="CK24" s="13"/>
      <c r="CL24" s="152"/>
      <c r="CM24" s="152"/>
      <c r="CN24" s="202"/>
      <c r="CO24" s="202"/>
      <c r="CP24" s="225"/>
      <c r="CQ24" s="192"/>
      <c r="CR24" s="332"/>
      <c r="CS24" s="333"/>
      <c r="CT24" s="327"/>
      <c r="CU24" s="363"/>
      <c r="CV24" s="367"/>
      <c r="CW24" s="367"/>
      <c r="CX24" s="327"/>
      <c r="CY24" s="341"/>
      <c r="CZ24" s="338"/>
      <c r="DA24" s="327"/>
      <c r="DB24" s="341"/>
      <c r="DC24" s="338"/>
      <c r="DD24" s="365"/>
      <c r="DE24" s="327"/>
      <c r="DF24" s="327"/>
      <c r="DG24" s="327"/>
      <c r="DH24" s="327"/>
      <c r="DI24" s="357"/>
      <c r="DJ24" s="192"/>
      <c r="DK24" s="192"/>
      <c r="DL24" s="192"/>
      <c r="DM24" s="192"/>
      <c r="DN24" s="192"/>
      <c r="DO24" s="192"/>
      <c r="DP24" s="192"/>
      <c r="DQ24" s="192"/>
      <c r="DR24" s="192"/>
      <c r="DS24" s="208"/>
    </row>
    <row r="25" spans="1:123" ht="15.75" customHeight="1" thickBot="1">
      <c r="A25" s="146" t="s">
        <v>193</v>
      </c>
      <c r="B25" s="282">
        <f>L27</f>
        <v>1600000</v>
      </c>
      <c r="C25" s="159"/>
      <c r="D25" s="14"/>
      <c r="E25" s="8"/>
      <c r="F25" s="8"/>
      <c r="G25" s="159"/>
      <c r="H25" s="19"/>
      <c r="I25" s="18"/>
      <c r="J25" s="159"/>
      <c r="K25" s="19"/>
      <c r="L25" s="18"/>
      <c r="M25" s="277"/>
      <c r="N25" s="159"/>
      <c r="O25" s="159"/>
      <c r="P25" s="248"/>
      <c r="Q25" s="248"/>
      <c r="R25" s="225"/>
      <c r="S25" s="10"/>
      <c r="T25" s="146"/>
      <c r="U25" s="185"/>
      <c r="V25" s="159"/>
      <c r="W25" s="14"/>
      <c r="X25" s="8"/>
      <c r="Y25" s="8"/>
      <c r="Z25" s="152"/>
      <c r="AA25" s="5"/>
      <c r="AB25" s="4"/>
      <c r="AC25" s="152"/>
      <c r="AD25" s="5"/>
      <c r="AE25" s="4"/>
      <c r="AF25" s="13"/>
      <c r="AG25" s="152"/>
      <c r="AH25" s="152"/>
      <c r="AI25" s="202"/>
      <c r="AJ25" s="202"/>
      <c r="AK25" s="225"/>
      <c r="AL25" s="192"/>
      <c r="AM25" s="146"/>
      <c r="AN25" s="185"/>
      <c r="AO25" s="159"/>
      <c r="AP25" s="14"/>
      <c r="AQ25" s="8"/>
      <c r="AR25" s="283"/>
      <c r="AS25" s="159"/>
      <c r="AT25" s="19"/>
      <c r="AU25" s="180"/>
      <c r="AV25" s="159"/>
      <c r="AW25" s="19"/>
      <c r="AX25" s="180"/>
      <c r="AY25" s="13"/>
      <c r="AZ25" s="152"/>
      <c r="BA25" s="152"/>
      <c r="BB25" s="202"/>
      <c r="BC25" s="202"/>
      <c r="BD25" s="225"/>
      <c r="BE25" s="192"/>
      <c r="BF25" s="146"/>
      <c r="BG25" s="185"/>
      <c r="BH25" s="159"/>
      <c r="BI25" s="14"/>
      <c r="BJ25" s="8"/>
      <c r="BK25" s="8"/>
      <c r="BL25" s="152"/>
      <c r="BM25" s="5"/>
      <c r="BN25" s="4"/>
      <c r="BO25" s="152"/>
      <c r="BP25" s="5"/>
      <c r="BQ25" s="4"/>
      <c r="BR25" s="13"/>
      <c r="BS25" s="152"/>
      <c r="BT25" s="152"/>
      <c r="BU25" s="202"/>
      <c r="BV25" s="202"/>
      <c r="BW25" s="225"/>
      <c r="BX25" s="192"/>
      <c r="BY25" s="146"/>
      <c r="BZ25" s="185"/>
      <c r="CA25" s="159"/>
      <c r="CB25" s="14"/>
      <c r="CC25" s="8"/>
      <c r="CD25" s="8"/>
      <c r="CE25" s="152"/>
      <c r="CF25" s="5"/>
      <c r="CG25" s="4"/>
      <c r="CH25" s="152"/>
      <c r="CI25" s="5"/>
      <c r="CJ25" s="4"/>
      <c r="CK25" s="13"/>
      <c r="CL25" s="152"/>
      <c r="CM25" s="152"/>
      <c r="CN25" s="202"/>
      <c r="CO25" s="202"/>
      <c r="CP25" s="225"/>
      <c r="CQ25" s="192"/>
      <c r="CR25" s="339"/>
      <c r="CS25" s="340"/>
      <c r="CT25" s="327"/>
      <c r="CU25" s="363"/>
      <c r="CV25" s="372"/>
      <c r="CW25" s="372"/>
      <c r="CX25" s="327"/>
      <c r="CY25" s="341"/>
      <c r="CZ25" s="338"/>
      <c r="DA25" s="327"/>
      <c r="DB25" s="341"/>
      <c r="DC25" s="338"/>
      <c r="DD25" s="365"/>
      <c r="DE25" s="327"/>
      <c r="DF25" s="327"/>
      <c r="DG25" s="327"/>
      <c r="DH25" s="327"/>
      <c r="DI25" s="357"/>
      <c r="DJ25" s="192"/>
      <c r="DK25" s="192"/>
      <c r="DL25" s="160"/>
      <c r="DM25" s="192"/>
      <c r="DN25" s="192"/>
      <c r="DO25" s="192"/>
      <c r="DP25" s="192"/>
      <c r="DQ25" s="192"/>
      <c r="DR25" s="192"/>
      <c r="DS25" s="208"/>
    </row>
    <row r="26" spans="1:123" ht="15.75" customHeight="1" thickBot="1">
      <c r="A26" s="218" t="s">
        <v>12</v>
      </c>
      <c r="B26" s="284">
        <f>I36</f>
        <v>0</v>
      </c>
      <c r="C26" s="159"/>
      <c r="D26" s="14"/>
      <c r="E26" s="27"/>
      <c r="F26" s="6">
        <f>SUM(F18:F25)</f>
        <v>4400000</v>
      </c>
      <c r="G26" s="159"/>
      <c r="H26" s="16"/>
      <c r="I26" s="15"/>
      <c r="J26" s="159"/>
      <c r="K26" s="16"/>
      <c r="L26" s="15"/>
      <c r="M26" s="277"/>
      <c r="N26" s="159"/>
      <c r="O26" s="159"/>
      <c r="P26" s="248"/>
      <c r="Q26" s="248"/>
      <c r="R26" s="225"/>
      <c r="S26" s="10"/>
      <c r="T26" s="218"/>
      <c r="U26" s="219"/>
      <c r="V26" s="159"/>
      <c r="W26" s="14"/>
      <c r="X26" s="27"/>
      <c r="Y26" s="6"/>
      <c r="Z26" s="152"/>
      <c r="AA26" s="20"/>
      <c r="AB26" s="2"/>
      <c r="AC26" s="152"/>
      <c r="AD26" s="20"/>
      <c r="AE26" s="2"/>
      <c r="AF26" s="13"/>
      <c r="AG26" s="152"/>
      <c r="AH26" s="152"/>
      <c r="AI26" s="202"/>
      <c r="AJ26" s="202"/>
      <c r="AK26" s="225"/>
      <c r="AL26" s="192"/>
      <c r="AM26" s="218"/>
      <c r="AN26" s="219"/>
      <c r="AO26" s="159"/>
      <c r="AP26" s="14"/>
      <c r="AQ26" s="27"/>
      <c r="AR26" s="285"/>
      <c r="AS26" s="159"/>
      <c r="AT26" s="16"/>
      <c r="AU26" s="181"/>
      <c r="AV26" s="159"/>
      <c r="AW26" s="16"/>
      <c r="AX26" s="181"/>
      <c r="AY26" s="13"/>
      <c r="AZ26" s="152"/>
      <c r="BA26" s="152"/>
      <c r="BB26" s="202"/>
      <c r="BC26" s="202"/>
      <c r="BD26" s="225"/>
      <c r="BE26" s="192"/>
      <c r="BF26" s="218"/>
      <c r="BG26" s="219"/>
      <c r="BH26" s="159"/>
      <c r="BI26" s="14"/>
      <c r="BJ26" s="27"/>
      <c r="BK26" s="6"/>
      <c r="BL26" s="152"/>
      <c r="BM26" s="20"/>
      <c r="BN26" s="2"/>
      <c r="BO26" s="152"/>
      <c r="BP26" s="20"/>
      <c r="BQ26" s="2"/>
      <c r="BR26" s="13"/>
      <c r="BS26" s="152"/>
      <c r="BT26" s="152"/>
      <c r="BU26" s="202"/>
      <c r="BV26" s="202"/>
      <c r="BW26" s="225"/>
      <c r="BX26" s="192"/>
      <c r="BY26" s="218"/>
      <c r="BZ26" s="219"/>
      <c r="CA26" s="159"/>
      <c r="CB26" s="14"/>
      <c r="CC26" s="27"/>
      <c r="CD26" s="6"/>
      <c r="CE26" s="152"/>
      <c r="CF26" s="20"/>
      <c r="CG26" s="2"/>
      <c r="CH26" s="152"/>
      <c r="CI26" s="20"/>
      <c r="CJ26" s="2"/>
      <c r="CK26" s="13"/>
      <c r="CL26" s="152"/>
      <c r="CM26" s="152"/>
      <c r="CN26" s="202"/>
      <c r="CO26" s="202"/>
      <c r="CP26" s="225"/>
      <c r="CQ26" s="192"/>
      <c r="CR26" s="373"/>
      <c r="CS26" s="374"/>
      <c r="CT26" s="327"/>
      <c r="CU26" s="363"/>
      <c r="CV26" s="375"/>
      <c r="CW26" s="376"/>
      <c r="CX26" s="327"/>
      <c r="CY26" s="348"/>
      <c r="CZ26" s="344"/>
      <c r="DA26" s="327"/>
      <c r="DB26" s="348"/>
      <c r="DC26" s="344"/>
      <c r="DD26" s="365"/>
      <c r="DE26" s="327"/>
      <c r="DF26" s="327"/>
      <c r="DG26" s="327"/>
      <c r="DH26" s="327"/>
      <c r="DI26" s="357"/>
      <c r="DJ26" s="192"/>
      <c r="DK26" s="192"/>
      <c r="DL26" s="160"/>
      <c r="DM26" s="160"/>
      <c r="DN26" s="160"/>
      <c r="DO26" s="160"/>
      <c r="DP26" s="160"/>
      <c r="DQ26" s="160"/>
      <c r="DR26" s="160"/>
      <c r="DS26" s="208"/>
    </row>
    <row r="27" spans="1:123" ht="15.75" customHeight="1" thickBot="1">
      <c r="A27" s="286" t="s">
        <v>130</v>
      </c>
      <c r="B27" s="287">
        <f>F26</f>
        <v>4400000</v>
      </c>
      <c r="C27" s="159"/>
      <c r="D27" s="14"/>
      <c r="E27" s="159"/>
      <c r="F27" s="159"/>
      <c r="G27" s="159"/>
      <c r="H27" s="159"/>
      <c r="I27" s="6">
        <f>SUM(I18:I26)</f>
        <v>3200000</v>
      </c>
      <c r="J27" s="159"/>
      <c r="K27" s="159"/>
      <c r="L27" s="21">
        <f>SUM(L18:L26)</f>
        <v>1600000</v>
      </c>
      <c r="M27" s="277"/>
      <c r="N27" s="159"/>
      <c r="O27" s="159"/>
      <c r="P27" s="248"/>
      <c r="Q27" s="248"/>
      <c r="R27" s="225"/>
      <c r="S27" s="10"/>
      <c r="T27" s="220"/>
      <c r="U27" s="221"/>
      <c r="V27" s="159"/>
      <c r="W27" s="14"/>
      <c r="X27" s="159"/>
      <c r="Y27" s="159"/>
      <c r="Z27" s="152"/>
      <c r="AA27" s="152"/>
      <c r="AB27" s="26"/>
      <c r="AC27" s="152"/>
      <c r="AD27" s="152"/>
      <c r="AE27" s="17"/>
      <c r="AF27" s="13"/>
      <c r="AG27" s="152"/>
      <c r="AH27" s="152"/>
      <c r="AI27" s="202"/>
      <c r="AJ27" s="202"/>
      <c r="AK27" s="225"/>
      <c r="AL27" s="192"/>
      <c r="AM27" s="220"/>
      <c r="AN27" s="221"/>
      <c r="AO27" s="159"/>
      <c r="AP27" s="14"/>
      <c r="AQ27" s="159"/>
      <c r="AR27" s="159"/>
      <c r="AS27" s="159"/>
      <c r="AT27" s="159"/>
      <c r="AU27" s="285"/>
      <c r="AV27" s="159"/>
      <c r="AW27" s="159"/>
      <c r="AX27" s="183"/>
      <c r="AY27" s="13"/>
      <c r="AZ27" s="152"/>
      <c r="BA27" s="152"/>
      <c r="BB27" s="202"/>
      <c r="BC27" s="202"/>
      <c r="BD27" s="225"/>
      <c r="BE27" s="192"/>
      <c r="BF27" s="220"/>
      <c r="BG27" s="221"/>
      <c r="BH27" s="159"/>
      <c r="BI27" s="14"/>
      <c r="BJ27" s="159"/>
      <c r="BK27" s="159"/>
      <c r="BL27" s="152"/>
      <c r="BM27" s="152"/>
      <c r="BN27" s="26"/>
      <c r="BO27" s="152"/>
      <c r="BP27" s="152"/>
      <c r="BQ27" s="17"/>
      <c r="BR27" s="13"/>
      <c r="BS27" s="152"/>
      <c r="BT27" s="152"/>
      <c r="BU27" s="202"/>
      <c r="BV27" s="202"/>
      <c r="BW27" s="225"/>
      <c r="BX27" s="192"/>
      <c r="BY27" s="220"/>
      <c r="BZ27" s="221"/>
      <c r="CA27" s="159"/>
      <c r="CB27" s="14"/>
      <c r="CC27" s="159"/>
      <c r="CD27" s="159"/>
      <c r="CE27" s="152"/>
      <c r="CF27" s="152"/>
      <c r="CG27" s="26"/>
      <c r="CH27" s="152"/>
      <c r="CI27" s="152"/>
      <c r="CJ27" s="17"/>
      <c r="CK27" s="13"/>
      <c r="CL27" s="152"/>
      <c r="CM27" s="152"/>
      <c r="CN27" s="202"/>
      <c r="CO27" s="202"/>
      <c r="CP27" s="225"/>
      <c r="CQ27" s="192"/>
      <c r="CR27" s="377"/>
      <c r="CS27" s="378"/>
      <c r="CT27" s="327"/>
      <c r="CU27" s="363"/>
      <c r="CV27" s="327"/>
      <c r="CW27" s="327"/>
      <c r="CX27" s="327"/>
      <c r="CY27" s="327"/>
      <c r="CZ27" s="376"/>
      <c r="DA27" s="327"/>
      <c r="DB27" s="327"/>
      <c r="DC27" s="351"/>
      <c r="DD27" s="365"/>
      <c r="DE27" s="327"/>
      <c r="DF27" s="327"/>
      <c r="DG27" s="327"/>
      <c r="DH27" s="327"/>
      <c r="DI27" s="357"/>
      <c r="DJ27" s="192"/>
      <c r="DK27" s="192"/>
      <c r="DL27" s="160"/>
      <c r="DM27" s="160"/>
      <c r="DN27" s="160"/>
      <c r="DO27" s="160"/>
      <c r="DP27" s="160"/>
      <c r="DQ27" s="160"/>
      <c r="DR27" s="160"/>
      <c r="DS27" s="208"/>
    </row>
    <row r="28" spans="1:123" ht="15.75" customHeight="1" thickBot="1">
      <c r="A28" s="188"/>
      <c r="B28" s="288">
        <f>B27+B26+B25+B24</f>
        <v>9200000</v>
      </c>
      <c r="C28" s="159"/>
      <c r="D28" s="25"/>
      <c r="E28" s="24"/>
      <c r="F28" s="24"/>
      <c r="G28" s="24"/>
      <c r="H28" s="24"/>
      <c r="I28" s="24"/>
      <c r="J28" s="24"/>
      <c r="K28" s="24"/>
      <c r="L28" s="24"/>
      <c r="M28" s="289"/>
      <c r="N28" s="159"/>
      <c r="O28" s="159"/>
      <c r="P28" s="248"/>
      <c r="Q28" s="248"/>
      <c r="R28" s="225"/>
      <c r="S28" s="10"/>
      <c r="T28" s="188"/>
      <c r="U28" s="216"/>
      <c r="V28" s="159"/>
      <c r="W28" s="25"/>
      <c r="X28" s="24"/>
      <c r="Y28" s="24"/>
      <c r="Z28" s="12"/>
      <c r="AA28" s="12"/>
      <c r="AB28" s="12"/>
      <c r="AC28" s="12"/>
      <c r="AD28" s="12"/>
      <c r="AE28" s="12"/>
      <c r="AF28" s="11"/>
      <c r="AG28" s="152"/>
      <c r="AH28" s="152"/>
      <c r="AI28" s="202"/>
      <c r="AJ28" s="202"/>
      <c r="AK28" s="225"/>
      <c r="AL28" s="192"/>
      <c r="AM28" s="188"/>
      <c r="AN28" s="216"/>
      <c r="AO28" s="159"/>
      <c r="AP28" s="25"/>
      <c r="AQ28" s="24"/>
      <c r="AR28" s="24"/>
      <c r="AS28" s="12"/>
      <c r="AT28" s="12"/>
      <c r="AU28" s="12"/>
      <c r="AV28" s="12"/>
      <c r="AW28" s="12"/>
      <c r="AX28" s="12"/>
      <c r="AY28" s="11"/>
      <c r="AZ28" s="152"/>
      <c r="BA28" s="152"/>
      <c r="BB28" s="202"/>
      <c r="BC28" s="202"/>
      <c r="BD28" s="225"/>
      <c r="BE28" s="192"/>
      <c r="BF28" s="188"/>
      <c r="BG28" s="216"/>
      <c r="BH28" s="159"/>
      <c r="BI28" s="25"/>
      <c r="BJ28" s="24"/>
      <c r="BK28" s="24"/>
      <c r="BL28" s="12"/>
      <c r="BM28" s="12"/>
      <c r="BN28" s="12"/>
      <c r="BO28" s="12"/>
      <c r="BP28" s="12"/>
      <c r="BQ28" s="12"/>
      <c r="BR28" s="11"/>
      <c r="BS28" s="152"/>
      <c r="BT28" s="152"/>
      <c r="BU28" s="202"/>
      <c r="BV28" s="202"/>
      <c r="BW28" s="225"/>
      <c r="BX28" s="192"/>
      <c r="BY28" s="188"/>
      <c r="BZ28" s="216"/>
      <c r="CA28" s="159"/>
      <c r="CB28" s="25"/>
      <c r="CC28" s="24"/>
      <c r="CD28" s="24"/>
      <c r="CE28" s="12"/>
      <c r="CF28" s="12"/>
      <c r="CG28" s="12"/>
      <c r="CH28" s="12"/>
      <c r="CI28" s="12"/>
      <c r="CJ28" s="12"/>
      <c r="CK28" s="11"/>
      <c r="CL28" s="152"/>
      <c r="CM28" s="152"/>
      <c r="CN28" s="202"/>
      <c r="CO28" s="202"/>
      <c r="CP28" s="225"/>
      <c r="CQ28" s="192"/>
      <c r="CR28" s="379"/>
      <c r="CS28" s="380"/>
      <c r="CT28" s="327"/>
      <c r="CU28" s="381"/>
      <c r="CV28" s="382"/>
      <c r="CW28" s="382"/>
      <c r="CX28" s="382"/>
      <c r="CY28" s="382"/>
      <c r="CZ28" s="382"/>
      <c r="DA28" s="382"/>
      <c r="DB28" s="382"/>
      <c r="DC28" s="382"/>
      <c r="DD28" s="383"/>
      <c r="DE28" s="327"/>
      <c r="DF28" s="327"/>
      <c r="DG28" s="327"/>
      <c r="DH28" s="327"/>
      <c r="DI28" s="357"/>
      <c r="DJ28" s="192"/>
      <c r="DK28" s="192"/>
      <c r="DL28" s="160"/>
      <c r="DM28" s="160"/>
      <c r="DN28" s="160"/>
      <c r="DO28" s="160"/>
      <c r="DP28" s="160"/>
      <c r="DQ28" s="160"/>
      <c r="DR28" s="160"/>
      <c r="DS28" s="208"/>
    </row>
    <row r="29" spans="1:123" ht="15.75" customHeight="1">
      <c r="A29" s="18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248"/>
      <c r="Q29" s="248"/>
      <c r="R29" s="225"/>
      <c r="S29" s="10"/>
      <c r="T29" s="188"/>
      <c r="U29" s="159"/>
      <c r="V29" s="159"/>
      <c r="W29" s="159"/>
      <c r="X29" s="159"/>
      <c r="Y29" s="159"/>
      <c r="Z29" s="152"/>
      <c r="AA29" s="152"/>
      <c r="AB29" s="152"/>
      <c r="AC29" s="152"/>
      <c r="AD29" s="152"/>
      <c r="AE29" s="152"/>
      <c r="AF29" s="152"/>
      <c r="AG29" s="152"/>
      <c r="AH29" s="152"/>
      <c r="AI29" s="202"/>
      <c r="AJ29" s="202"/>
      <c r="AK29" s="225"/>
      <c r="AL29" s="192"/>
      <c r="AM29" s="188"/>
      <c r="AN29" s="159"/>
      <c r="AO29" s="159"/>
      <c r="AP29" s="159"/>
      <c r="AQ29" s="159"/>
      <c r="AR29" s="159"/>
      <c r="AS29" s="152"/>
      <c r="AT29" s="152"/>
      <c r="AU29" s="152"/>
      <c r="AV29" s="152"/>
      <c r="AW29" s="152"/>
      <c r="AX29" s="152"/>
      <c r="AY29" s="152"/>
      <c r="AZ29" s="152"/>
      <c r="BA29" s="152"/>
      <c r="BB29" s="202"/>
      <c r="BC29" s="202"/>
      <c r="BD29" s="225"/>
      <c r="BE29" s="192"/>
      <c r="BF29" s="188"/>
      <c r="BG29" s="159"/>
      <c r="BH29" s="159"/>
      <c r="BI29" s="159"/>
      <c r="BJ29" s="159"/>
      <c r="BK29" s="159"/>
      <c r="BL29" s="152"/>
      <c r="BM29" s="152"/>
      <c r="BN29" s="152"/>
      <c r="BO29" s="152"/>
      <c r="BP29" s="152"/>
      <c r="BQ29" s="152"/>
      <c r="BR29" s="152"/>
      <c r="BS29" s="152"/>
      <c r="BT29" s="152"/>
      <c r="BU29" s="202"/>
      <c r="BV29" s="202"/>
      <c r="BW29" s="225"/>
      <c r="BX29" s="192"/>
      <c r="BY29" s="188"/>
      <c r="BZ29" s="159"/>
      <c r="CA29" s="159"/>
      <c r="CB29" s="159"/>
      <c r="CC29" s="159"/>
      <c r="CD29" s="159"/>
      <c r="CE29" s="152"/>
      <c r="CF29" s="152"/>
      <c r="CG29" s="152"/>
      <c r="CH29" s="152"/>
      <c r="CI29" s="152"/>
      <c r="CJ29" s="152"/>
      <c r="CK29" s="152"/>
      <c r="CL29" s="152"/>
      <c r="CM29" s="152"/>
      <c r="CN29" s="202"/>
      <c r="CO29" s="202"/>
      <c r="CP29" s="225"/>
      <c r="CQ29" s="192"/>
      <c r="CR29" s="379"/>
      <c r="CS29" s="327"/>
      <c r="CT29" s="327"/>
      <c r="CU29" s="327"/>
      <c r="CV29" s="327"/>
      <c r="CW29" s="327"/>
      <c r="CX29" s="327"/>
      <c r="CY29" s="327"/>
      <c r="CZ29" s="327"/>
      <c r="DA29" s="327"/>
      <c r="DB29" s="327"/>
      <c r="DC29" s="327"/>
      <c r="DD29" s="327"/>
      <c r="DE29" s="327"/>
      <c r="DF29" s="327"/>
      <c r="DG29" s="327"/>
      <c r="DH29" s="327"/>
      <c r="DI29" s="357"/>
      <c r="DJ29" s="192"/>
      <c r="DK29" s="192"/>
      <c r="DL29" s="209"/>
      <c r="DM29" s="160"/>
      <c r="DN29" s="160"/>
      <c r="DO29" s="160"/>
      <c r="DP29" s="160"/>
      <c r="DQ29" s="160"/>
      <c r="DR29" s="160"/>
      <c r="DS29" s="208"/>
    </row>
    <row r="30" spans="1:123" ht="15.75" customHeight="1" thickBot="1">
      <c r="A30" s="18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248"/>
      <c r="Q30" s="248"/>
      <c r="R30" s="225"/>
      <c r="S30" s="10"/>
      <c r="T30" s="188"/>
      <c r="U30" s="159"/>
      <c r="V30" s="159"/>
      <c r="W30" s="159"/>
      <c r="X30" s="159"/>
      <c r="Y30" s="159"/>
      <c r="Z30" s="152"/>
      <c r="AA30" s="152"/>
      <c r="AB30" s="152"/>
      <c r="AC30" s="152"/>
      <c r="AD30" s="152"/>
      <c r="AE30" s="152"/>
      <c r="AF30" s="152"/>
      <c r="AG30" s="152"/>
      <c r="AH30" s="152"/>
      <c r="AI30" s="202"/>
      <c r="AJ30" s="202"/>
      <c r="AK30" s="225"/>
      <c r="AL30" s="192"/>
      <c r="AM30" s="188"/>
      <c r="AN30" s="159"/>
      <c r="AO30" s="159"/>
      <c r="AP30" s="159"/>
      <c r="AQ30" s="159"/>
      <c r="AR30" s="159"/>
      <c r="AS30" s="152"/>
      <c r="AT30" s="152"/>
      <c r="AU30" s="152"/>
      <c r="AV30" s="152"/>
      <c r="AW30" s="152"/>
      <c r="AX30" s="152"/>
      <c r="AY30" s="152"/>
      <c r="AZ30" s="152"/>
      <c r="BA30" s="152"/>
      <c r="BB30" s="202"/>
      <c r="BC30" s="202"/>
      <c r="BD30" s="225"/>
      <c r="BE30" s="192"/>
      <c r="BF30" s="188"/>
      <c r="BG30" s="159"/>
      <c r="BH30" s="159"/>
      <c r="BI30" s="159"/>
      <c r="BJ30" s="159"/>
      <c r="BK30" s="159"/>
      <c r="BL30" s="152"/>
      <c r="BM30" s="152"/>
      <c r="BN30" s="152"/>
      <c r="BO30" s="152"/>
      <c r="BP30" s="152"/>
      <c r="BQ30" s="152"/>
      <c r="BR30" s="152"/>
      <c r="BS30" s="152"/>
      <c r="BT30" s="152"/>
      <c r="BU30" s="202"/>
      <c r="BV30" s="202"/>
      <c r="BW30" s="225"/>
      <c r="BX30" s="192"/>
      <c r="BY30" s="188"/>
      <c r="BZ30" s="159"/>
      <c r="CA30" s="159"/>
      <c r="CB30" s="159"/>
      <c r="CC30" s="159"/>
      <c r="CD30" s="159"/>
      <c r="CE30" s="152"/>
      <c r="CF30" s="152"/>
      <c r="CG30" s="152"/>
      <c r="CH30" s="152"/>
      <c r="CI30" s="152"/>
      <c r="CJ30" s="152"/>
      <c r="CK30" s="152"/>
      <c r="CL30" s="152"/>
      <c r="CM30" s="152"/>
      <c r="CN30" s="202"/>
      <c r="CO30" s="202"/>
      <c r="CP30" s="225"/>
      <c r="CQ30" s="192"/>
      <c r="CR30" s="379"/>
      <c r="CS30" s="327"/>
      <c r="CT30" s="327"/>
      <c r="CU30" s="327"/>
      <c r="CV30" s="327"/>
      <c r="CW30" s="327"/>
      <c r="CX30" s="327"/>
      <c r="CY30" s="327"/>
      <c r="CZ30" s="327"/>
      <c r="DA30" s="327"/>
      <c r="DB30" s="327"/>
      <c r="DC30" s="327"/>
      <c r="DD30" s="327"/>
      <c r="DE30" s="327"/>
      <c r="DF30" s="327"/>
      <c r="DG30" s="327"/>
      <c r="DH30" s="327"/>
      <c r="DI30" s="357"/>
      <c r="DJ30" s="192"/>
      <c r="DK30" s="192"/>
      <c r="DL30" s="192"/>
      <c r="DM30" s="192"/>
      <c r="DN30" s="192"/>
      <c r="DO30" s="192"/>
      <c r="DP30" s="192"/>
      <c r="DQ30" s="192"/>
      <c r="DR30" s="192"/>
      <c r="DS30" s="208"/>
    </row>
    <row r="31" spans="1:123" ht="15.75" customHeight="1" thickBot="1">
      <c r="A31" s="188" t="s">
        <v>28</v>
      </c>
      <c r="B31" s="159"/>
      <c r="C31" s="159"/>
      <c r="D31" s="159"/>
      <c r="E31" s="156"/>
      <c r="F31" s="159"/>
      <c r="G31" s="159"/>
      <c r="H31" s="156"/>
      <c r="I31" s="159"/>
      <c r="J31" s="159"/>
      <c r="K31" s="461" t="s">
        <v>244</v>
      </c>
      <c r="L31" s="461"/>
      <c r="M31" s="159"/>
      <c r="N31" s="159"/>
      <c r="O31" s="159"/>
      <c r="P31" s="248"/>
      <c r="Q31" s="248"/>
      <c r="R31" s="225"/>
      <c r="S31" s="10"/>
      <c r="T31" s="188"/>
      <c r="U31" s="159"/>
      <c r="V31" s="159"/>
      <c r="W31" s="159"/>
      <c r="X31" s="156"/>
      <c r="Y31" s="159"/>
      <c r="Z31" s="152"/>
      <c r="AA31" s="158"/>
      <c r="AB31" s="152"/>
      <c r="AC31" s="152"/>
      <c r="AD31" s="453"/>
      <c r="AE31" s="453"/>
      <c r="AF31" s="152"/>
      <c r="AG31" s="152"/>
      <c r="AH31" s="152"/>
      <c r="AI31" s="202"/>
      <c r="AJ31" s="202"/>
      <c r="AK31" s="225"/>
      <c r="AL31" s="192"/>
      <c r="AM31" s="188"/>
      <c r="AN31" s="159"/>
      <c r="AO31" s="159"/>
      <c r="AP31" s="159"/>
      <c r="AQ31" s="156"/>
      <c r="AR31" s="159"/>
      <c r="AS31" s="152"/>
      <c r="AT31" s="158"/>
      <c r="AU31" s="152"/>
      <c r="AV31" s="152"/>
      <c r="AW31" s="453"/>
      <c r="AX31" s="453"/>
      <c r="AY31" s="152"/>
      <c r="AZ31" s="152"/>
      <c r="BA31" s="152"/>
      <c r="BB31" s="202"/>
      <c r="BC31" s="202"/>
      <c r="BD31" s="225"/>
      <c r="BE31" s="192"/>
      <c r="BF31" s="188"/>
      <c r="BG31" s="159"/>
      <c r="BH31" s="159"/>
      <c r="BI31" s="159"/>
      <c r="BJ31" s="156"/>
      <c r="BK31" s="159"/>
      <c r="BL31" s="152"/>
      <c r="BM31" s="158"/>
      <c r="BN31" s="152"/>
      <c r="BO31" s="152"/>
      <c r="BP31" s="453"/>
      <c r="BQ31" s="453"/>
      <c r="BR31" s="152"/>
      <c r="BS31" s="152"/>
      <c r="BT31" s="152"/>
      <c r="BU31" s="202"/>
      <c r="BV31" s="202"/>
      <c r="BW31" s="225"/>
      <c r="BX31" s="192"/>
      <c r="BY31" s="188"/>
      <c r="BZ31" s="159"/>
      <c r="CA31" s="159"/>
      <c r="CB31" s="159"/>
      <c r="CC31" s="156"/>
      <c r="CD31" s="159"/>
      <c r="CE31" s="152"/>
      <c r="CF31" s="158"/>
      <c r="CG31" s="152"/>
      <c r="CH31" s="152"/>
      <c r="CI31" s="453"/>
      <c r="CJ31" s="453"/>
      <c r="CK31" s="152"/>
      <c r="CL31" s="152"/>
      <c r="CM31" s="152"/>
      <c r="CN31" s="202"/>
      <c r="CO31" s="202"/>
      <c r="CP31" s="225"/>
      <c r="CQ31" s="192"/>
      <c r="CR31" s="379"/>
      <c r="CS31" s="327"/>
      <c r="CT31" s="327"/>
      <c r="CU31" s="327"/>
      <c r="CV31" s="384"/>
      <c r="CW31" s="327"/>
      <c r="CX31" s="327"/>
      <c r="CY31" s="384"/>
      <c r="CZ31" s="327"/>
      <c r="DA31" s="327"/>
      <c r="DB31" s="470"/>
      <c r="DC31" s="470"/>
      <c r="DD31" s="327"/>
      <c r="DE31" s="327"/>
      <c r="DF31" s="327"/>
      <c r="DG31" s="327"/>
      <c r="DH31" s="327"/>
      <c r="DI31" s="357"/>
      <c r="DJ31" s="192"/>
      <c r="DK31" s="192"/>
      <c r="DL31" s="192"/>
      <c r="DM31" s="192"/>
      <c r="DN31" s="192"/>
      <c r="DO31" s="192"/>
      <c r="DP31" s="192"/>
      <c r="DQ31" s="192"/>
      <c r="DR31" s="192"/>
      <c r="DS31" s="208"/>
    </row>
    <row r="32" spans="1:123" ht="15.75" customHeight="1" thickBot="1">
      <c r="A32" s="239" t="s">
        <v>36</v>
      </c>
      <c r="B32" s="159"/>
      <c r="C32" s="159"/>
      <c r="D32" s="159"/>
      <c r="E32" s="155"/>
      <c r="F32" s="22"/>
      <c r="G32" s="159"/>
      <c r="H32" s="155"/>
      <c r="I32" s="22"/>
      <c r="J32" s="159"/>
      <c r="K32" s="155" t="s">
        <v>245</v>
      </c>
      <c r="L32" s="290"/>
      <c r="M32" s="159"/>
      <c r="N32" s="159"/>
      <c r="O32" s="159"/>
      <c r="P32" s="248"/>
      <c r="Q32" s="248"/>
      <c r="R32" s="225"/>
      <c r="S32" s="10"/>
      <c r="T32" s="239"/>
      <c r="U32" s="159"/>
      <c r="V32" s="159"/>
      <c r="W32" s="159"/>
      <c r="X32" s="155"/>
      <c r="Y32" s="22"/>
      <c r="Z32" s="152"/>
      <c r="AA32" s="157"/>
      <c r="AB32" s="3"/>
      <c r="AC32" s="152"/>
      <c r="AD32" s="157"/>
      <c r="AE32" s="178"/>
      <c r="AF32" s="152"/>
      <c r="AG32" s="152"/>
      <c r="AH32" s="152"/>
      <c r="AI32" s="202"/>
      <c r="AJ32" s="202"/>
      <c r="AK32" s="225"/>
      <c r="AL32" s="192"/>
      <c r="AM32" s="239"/>
      <c r="AN32" s="159"/>
      <c r="AO32" s="159"/>
      <c r="AP32" s="159"/>
      <c r="AQ32" s="155"/>
      <c r="AR32" s="182"/>
      <c r="AS32" s="152"/>
      <c r="AT32" s="157"/>
      <c r="AU32" s="182"/>
      <c r="AV32" s="152"/>
      <c r="AW32" s="157"/>
      <c r="AX32" s="291"/>
      <c r="AY32" s="152"/>
      <c r="AZ32" s="152"/>
      <c r="BA32" s="152"/>
      <c r="BB32" s="202"/>
      <c r="BC32" s="202"/>
      <c r="BD32" s="225"/>
      <c r="BE32" s="192"/>
      <c r="BF32" s="239"/>
      <c r="BG32" s="159"/>
      <c r="BH32" s="159"/>
      <c r="BI32" s="159"/>
      <c r="BJ32" s="155"/>
      <c r="BK32" s="22"/>
      <c r="BL32" s="152"/>
      <c r="BM32" s="157"/>
      <c r="BN32" s="3"/>
      <c r="BO32" s="152"/>
      <c r="BP32" s="157"/>
      <c r="BQ32" s="178"/>
      <c r="BR32" s="152"/>
      <c r="BS32" s="152"/>
      <c r="BT32" s="152"/>
      <c r="BU32" s="202"/>
      <c r="BV32" s="202"/>
      <c r="BW32" s="225"/>
      <c r="BX32" s="192"/>
      <c r="BY32" s="239"/>
      <c r="BZ32" s="159"/>
      <c r="CA32" s="159"/>
      <c r="CB32" s="159"/>
      <c r="CC32" s="155"/>
      <c r="CD32" s="22"/>
      <c r="CE32" s="152"/>
      <c r="CF32" s="157"/>
      <c r="CG32" s="3"/>
      <c r="CH32" s="152"/>
      <c r="CI32" s="157"/>
      <c r="CJ32" s="178"/>
      <c r="CK32" s="152"/>
      <c r="CL32" s="152"/>
      <c r="CM32" s="152"/>
      <c r="CN32" s="202"/>
      <c r="CO32" s="202"/>
      <c r="CP32" s="225"/>
      <c r="CQ32" s="192"/>
      <c r="CR32" s="385"/>
      <c r="CS32" s="327"/>
      <c r="CT32" s="327"/>
      <c r="CU32" s="327"/>
      <c r="CV32" s="386"/>
      <c r="CW32" s="335"/>
      <c r="CX32" s="327"/>
      <c r="CY32" s="386"/>
      <c r="CZ32" s="335"/>
      <c r="DA32" s="327"/>
      <c r="DB32" s="386"/>
      <c r="DC32" s="387"/>
      <c r="DD32" s="327"/>
      <c r="DE32" s="327"/>
      <c r="DF32" s="327"/>
      <c r="DG32" s="327"/>
      <c r="DH32" s="327"/>
      <c r="DI32" s="357"/>
      <c r="DJ32" s="192"/>
      <c r="DK32" s="192"/>
      <c r="DL32" s="192"/>
      <c r="DM32" s="192"/>
      <c r="DN32" s="192"/>
      <c r="DO32" s="192"/>
      <c r="DP32" s="192"/>
      <c r="DQ32" s="192"/>
      <c r="DR32" s="192"/>
      <c r="DS32" s="208"/>
    </row>
    <row r="33" spans="1:123" ht="15.75" customHeight="1">
      <c r="A33" s="227" t="s">
        <v>35</v>
      </c>
      <c r="B33" s="22">
        <f>B12</f>
        <v>11191666.619999999</v>
      </c>
      <c r="C33" s="159"/>
      <c r="D33" s="159"/>
      <c r="E33" s="19"/>
      <c r="F33" s="18"/>
      <c r="G33" s="159"/>
      <c r="H33" s="19"/>
      <c r="I33" s="18"/>
      <c r="J33" s="159"/>
      <c r="K33" s="19" t="s">
        <v>100</v>
      </c>
      <c r="L33" s="18">
        <v>128360</v>
      </c>
      <c r="M33" s="159"/>
      <c r="N33" s="159"/>
      <c r="O33" s="159"/>
      <c r="P33" s="248"/>
      <c r="Q33" s="248"/>
      <c r="R33" s="225"/>
      <c r="S33" s="10"/>
      <c r="T33" s="227"/>
      <c r="U33" s="22"/>
      <c r="V33" s="159"/>
      <c r="W33" s="159"/>
      <c r="X33" s="19"/>
      <c r="Y33" s="18"/>
      <c r="Z33" s="152"/>
      <c r="AA33" s="5"/>
      <c r="AB33" s="4"/>
      <c r="AC33" s="152"/>
      <c r="AD33" s="5"/>
      <c r="AE33" s="4"/>
      <c r="AF33" s="152"/>
      <c r="AG33" s="152"/>
      <c r="AH33" s="152"/>
      <c r="AI33" s="202"/>
      <c r="AJ33" s="202"/>
      <c r="AK33" s="225"/>
      <c r="AL33" s="192"/>
      <c r="AM33" s="227"/>
      <c r="AN33" s="22"/>
      <c r="AO33" s="159"/>
      <c r="AP33" s="159"/>
      <c r="AQ33" s="19"/>
      <c r="AR33" s="180"/>
      <c r="AS33" s="152"/>
      <c r="AT33" s="5"/>
      <c r="AU33" s="180"/>
      <c r="AV33" s="152"/>
      <c r="AW33" s="5"/>
      <c r="AX33" s="180"/>
      <c r="AY33" s="152"/>
      <c r="AZ33" s="152"/>
      <c r="BA33" s="152"/>
      <c r="BB33" s="202"/>
      <c r="BC33" s="202"/>
      <c r="BD33" s="225"/>
      <c r="BE33" s="192"/>
      <c r="BF33" s="227"/>
      <c r="BG33" s="22"/>
      <c r="BH33" s="159"/>
      <c r="BI33" s="159"/>
      <c r="BJ33" s="19"/>
      <c r="BK33" s="18"/>
      <c r="BL33" s="152"/>
      <c r="BM33" s="5"/>
      <c r="BN33" s="4"/>
      <c r="BO33" s="152"/>
      <c r="BP33" s="5"/>
      <c r="BQ33" s="4"/>
      <c r="BR33" s="152"/>
      <c r="BS33" s="152"/>
      <c r="BT33" s="152"/>
      <c r="BU33" s="202"/>
      <c r="BV33" s="202"/>
      <c r="BW33" s="225"/>
      <c r="BX33" s="192"/>
      <c r="BY33" s="227"/>
      <c r="BZ33" s="22"/>
      <c r="CA33" s="159"/>
      <c r="CB33" s="159"/>
      <c r="CC33" s="19"/>
      <c r="CD33" s="18"/>
      <c r="CE33" s="152"/>
      <c r="CF33" s="5"/>
      <c r="CG33" s="4"/>
      <c r="CH33" s="152"/>
      <c r="CI33" s="5"/>
      <c r="CJ33" s="4"/>
      <c r="CK33" s="152"/>
      <c r="CL33" s="152"/>
      <c r="CM33" s="152"/>
      <c r="CN33" s="202"/>
      <c r="CO33" s="202"/>
      <c r="CP33" s="225"/>
      <c r="CQ33" s="192"/>
      <c r="CR33" s="330"/>
      <c r="CS33" s="335"/>
      <c r="CT33" s="327"/>
      <c r="CU33" s="327"/>
      <c r="CV33" s="341"/>
      <c r="CW33" s="338"/>
      <c r="CX33" s="327"/>
      <c r="CY33" s="341"/>
      <c r="CZ33" s="338"/>
      <c r="DA33" s="327"/>
      <c r="DB33" s="341"/>
      <c r="DC33" s="338"/>
      <c r="DD33" s="327"/>
      <c r="DE33" s="327"/>
      <c r="DF33" s="327"/>
      <c r="DG33" s="327"/>
      <c r="DH33" s="327"/>
      <c r="DI33" s="357"/>
      <c r="DJ33" s="192"/>
      <c r="DK33" s="192"/>
      <c r="DL33" s="192"/>
      <c r="DM33" s="192"/>
      <c r="DN33" s="192"/>
      <c r="DO33" s="192"/>
      <c r="DP33" s="192"/>
      <c r="DQ33" s="192"/>
      <c r="DR33" s="192"/>
      <c r="DS33" s="208"/>
    </row>
    <row r="34" spans="1:123" ht="15.75" customHeight="1" thickBot="1">
      <c r="A34" s="166" t="s">
        <v>34</v>
      </c>
      <c r="B34" s="18">
        <f>F14</f>
        <v>447000</v>
      </c>
      <c r="C34" s="159"/>
      <c r="D34" s="159"/>
      <c r="E34" s="16"/>
      <c r="F34" s="28"/>
      <c r="G34" s="159"/>
      <c r="H34" s="19"/>
      <c r="I34" s="18"/>
      <c r="J34" s="159"/>
      <c r="K34" s="19"/>
      <c r="L34" s="18"/>
      <c r="M34" s="159"/>
      <c r="N34" s="159"/>
      <c r="O34" s="159"/>
      <c r="P34" s="248"/>
      <c r="Q34" s="248"/>
      <c r="R34" s="225"/>
      <c r="S34" s="10"/>
      <c r="T34" s="166"/>
      <c r="U34" s="18"/>
      <c r="V34" s="159"/>
      <c r="W34" s="159"/>
      <c r="X34" s="16"/>
      <c r="Y34" s="28"/>
      <c r="Z34" s="152"/>
      <c r="AA34" s="5"/>
      <c r="AB34" s="4"/>
      <c r="AC34" s="152"/>
      <c r="AD34" s="5"/>
      <c r="AE34" s="4"/>
      <c r="AF34" s="152"/>
      <c r="AG34" s="152"/>
      <c r="AH34" s="152"/>
      <c r="AI34" s="202"/>
      <c r="AJ34" s="202"/>
      <c r="AK34" s="225"/>
      <c r="AL34" s="192"/>
      <c r="AM34" s="166"/>
      <c r="AN34" s="18"/>
      <c r="AO34" s="159"/>
      <c r="AP34" s="159"/>
      <c r="AQ34" s="16"/>
      <c r="AR34" s="186"/>
      <c r="AS34" s="152"/>
      <c r="AT34" s="5"/>
      <c r="AU34" s="180"/>
      <c r="AV34" s="152"/>
      <c r="AW34" s="5"/>
      <c r="AX34" s="180"/>
      <c r="AY34" s="152"/>
      <c r="AZ34" s="152"/>
      <c r="BA34" s="152"/>
      <c r="BB34" s="202"/>
      <c r="BC34" s="202"/>
      <c r="BD34" s="225"/>
      <c r="BE34" s="192"/>
      <c r="BF34" s="166"/>
      <c r="BG34" s="18"/>
      <c r="BH34" s="159"/>
      <c r="BI34" s="159"/>
      <c r="BJ34" s="16"/>
      <c r="BK34" s="28"/>
      <c r="BL34" s="152"/>
      <c r="BM34" s="5"/>
      <c r="BN34" s="4"/>
      <c r="BO34" s="152"/>
      <c r="BP34" s="5"/>
      <c r="BQ34" s="4"/>
      <c r="BR34" s="152"/>
      <c r="BS34" s="152"/>
      <c r="BT34" s="152"/>
      <c r="BU34" s="202"/>
      <c r="BV34" s="202"/>
      <c r="BW34" s="225"/>
      <c r="BX34" s="192"/>
      <c r="BY34" s="166"/>
      <c r="BZ34" s="18"/>
      <c r="CA34" s="159"/>
      <c r="CB34" s="159"/>
      <c r="CC34" s="16"/>
      <c r="CD34" s="28"/>
      <c r="CE34" s="152"/>
      <c r="CF34" s="5"/>
      <c r="CG34" s="4"/>
      <c r="CH34" s="152"/>
      <c r="CI34" s="5"/>
      <c r="CJ34" s="4"/>
      <c r="CK34" s="152"/>
      <c r="CL34" s="152"/>
      <c r="CM34" s="152"/>
      <c r="CN34" s="202"/>
      <c r="CO34" s="202"/>
      <c r="CP34" s="225"/>
      <c r="CQ34" s="192"/>
      <c r="CR34" s="337"/>
      <c r="CS34" s="338"/>
      <c r="CT34" s="327"/>
      <c r="CU34" s="327"/>
      <c r="CV34" s="348"/>
      <c r="CW34" s="369"/>
      <c r="CX34" s="327"/>
      <c r="CY34" s="341"/>
      <c r="CZ34" s="338"/>
      <c r="DA34" s="327"/>
      <c r="DB34" s="341"/>
      <c r="DC34" s="338"/>
      <c r="DD34" s="327"/>
      <c r="DE34" s="327"/>
      <c r="DF34" s="327"/>
      <c r="DG34" s="327"/>
      <c r="DH34" s="327"/>
      <c r="DI34" s="357"/>
      <c r="DJ34" s="192"/>
      <c r="DK34" s="192"/>
      <c r="DL34" s="192"/>
      <c r="DM34" s="192"/>
      <c r="DN34" s="192"/>
      <c r="DO34" s="192"/>
      <c r="DP34" s="192"/>
      <c r="DQ34" s="192"/>
      <c r="DR34" s="192"/>
      <c r="DS34" s="208"/>
    </row>
    <row r="35" spans="1:123" ht="15.75" customHeight="1" thickBot="1">
      <c r="A35" s="230" t="s">
        <v>31</v>
      </c>
      <c r="B35" s="15">
        <f>B21</f>
        <v>3121172</v>
      </c>
      <c r="C35" s="159"/>
      <c r="D35" s="159"/>
      <c r="E35" s="159"/>
      <c r="F35" s="162"/>
      <c r="G35" s="159"/>
      <c r="H35" s="16"/>
      <c r="I35" s="15"/>
      <c r="J35" s="159"/>
      <c r="K35" s="16"/>
      <c r="L35" s="15"/>
      <c r="M35" s="159"/>
      <c r="N35" s="159"/>
      <c r="O35" s="159"/>
      <c r="P35" s="248"/>
      <c r="Q35" s="248"/>
      <c r="R35" s="225"/>
      <c r="S35" s="10"/>
      <c r="T35" s="230"/>
      <c r="U35" s="15"/>
      <c r="V35" s="159"/>
      <c r="W35" s="159"/>
      <c r="X35" s="159"/>
      <c r="Y35" s="162"/>
      <c r="Z35" s="152"/>
      <c r="AA35" s="20"/>
      <c r="AB35" s="2"/>
      <c r="AC35" s="152"/>
      <c r="AD35" s="20"/>
      <c r="AE35" s="2"/>
      <c r="AF35" s="152"/>
      <c r="AG35" s="152"/>
      <c r="AH35" s="152"/>
      <c r="AI35" s="202"/>
      <c r="AJ35" s="202"/>
      <c r="AK35" s="225"/>
      <c r="AL35" s="192"/>
      <c r="AM35" s="230"/>
      <c r="AN35" s="15"/>
      <c r="AO35" s="159"/>
      <c r="AP35" s="159"/>
      <c r="AQ35" s="159"/>
      <c r="AR35" s="292"/>
      <c r="AS35" s="152"/>
      <c r="AT35" s="20"/>
      <c r="AU35" s="181"/>
      <c r="AV35" s="152"/>
      <c r="AW35" s="20"/>
      <c r="AX35" s="181"/>
      <c r="AY35" s="152"/>
      <c r="AZ35" s="152"/>
      <c r="BA35" s="152"/>
      <c r="BB35" s="202"/>
      <c r="BC35" s="202"/>
      <c r="BD35" s="225"/>
      <c r="BE35" s="192"/>
      <c r="BF35" s="230"/>
      <c r="BG35" s="15"/>
      <c r="BH35" s="159"/>
      <c r="BI35" s="159"/>
      <c r="BJ35" s="159"/>
      <c r="BK35" s="162"/>
      <c r="BL35" s="152"/>
      <c r="BM35" s="20"/>
      <c r="BN35" s="2"/>
      <c r="BO35" s="152"/>
      <c r="BP35" s="20"/>
      <c r="BQ35" s="2"/>
      <c r="BR35" s="152"/>
      <c r="BS35" s="152"/>
      <c r="BT35" s="152"/>
      <c r="BU35" s="202"/>
      <c r="BV35" s="202"/>
      <c r="BW35" s="225"/>
      <c r="BX35" s="192"/>
      <c r="BY35" s="230"/>
      <c r="BZ35" s="15"/>
      <c r="CA35" s="159"/>
      <c r="CB35" s="159"/>
      <c r="CC35" s="159"/>
      <c r="CD35" s="162"/>
      <c r="CE35" s="152"/>
      <c r="CF35" s="20"/>
      <c r="CG35" s="2"/>
      <c r="CH35" s="152"/>
      <c r="CI35" s="20"/>
      <c r="CJ35" s="2"/>
      <c r="CK35" s="152"/>
      <c r="CL35" s="152"/>
      <c r="CM35" s="152"/>
      <c r="CN35" s="202"/>
      <c r="CO35" s="202"/>
      <c r="CP35" s="225"/>
      <c r="CQ35" s="192"/>
      <c r="CR35" s="343"/>
      <c r="CS35" s="344"/>
      <c r="CT35" s="327"/>
      <c r="CU35" s="327"/>
      <c r="CV35" s="327"/>
      <c r="CW35" s="388"/>
      <c r="CX35" s="327"/>
      <c r="CY35" s="348"/>
      <c r="CZ35" s="344"/>
      <c r="DA35" s="327"/>
      <c r="DB35" s="348"/>
      <c r="DC35" s="344"/>
      <c r="DD35" s="327"/>
      <c r="DE35" s="327"/>
      <c r="DF35" s="327"/>
      <c r="DG35" s="327"/>
      <c r="DH35" s="327"/>
      <c r="DI35" s="357"/>
      <c r="DJ35" s="192"/>
      <c r="DK35" s="192"/>
      <c r="DL35" s="192"/>
      <c r="DM35" s="192"/>
      <c r="DN35" s="192"/>
      <c r="DO35" s="192"/>
      <c r="DP35" s="192"/>
      <c r="DQ35" s="192"/>
      <c r="DR35" s="192"/>
      <c r="DS35" s="208"/>
    </row>
    <row r="36" spans="1:123" ht="15.75" customHeight="1" thickBot="1">
      <c r="A36" s="238" t="s">
        <v>27</v>
      </c>
      <c r="B36" s="21">
        <f>B28+B21+B12</f>
        <v>23512838.619999997</v>
      </c>
      <c r="C36" s="159"/>
      <c r="D36" s="159"/>
      <c r="E36" s="159"/>
      <c r="F36" s="159"/>
      <c r="G36" s="159"/>
      <c r="H36" s="159"/>
      <c r="I36" s="21"/>
      <c r="J36" s="159"/>
      <c r="K36" s="159"/>
      <c r="L36" s="21"/>
      <c r="M36" s="159"/>
      <c r="N36" s="159"/>
      <c r="O36" s="159"/>
      <c r="P36" s="248"/>
      <c r="Q36" s="248"/>
      <c r="R36" s="225"/>
      <c r="S36" s="10"/>
      <c r="T36" s="238"/>
      <c r="U36" s="21"/>
      <c r="V36" s="159"/>
      <c r="W36" s="159"/>
      <c r="X36" s="159"/>
      <c r="Y36" s="159"/>
      <c r="Z36" s="152"/>
      <c r="AA36" s="152"/>
      <c r="AB36" s="17"/>
      <c r="AC36" s="152"/>
      <c r="AD36" s="152"/>
      <c r="AE36" s="17"/>
      <c r="AF36" s="152"/>
      <c r="AG36" s="152"/>
      <c r="AH36" s="152"/>
      <c r="AI36" s="202"/>
      <c r="AJ36" s="202"/>
      <c r="AK36" s="225"/>
      <c r="AL36" s="192"/>
      <c r="AM36" s="238"/>
      <c r="AN36" s="21"/>
      <c r="AO36" s="159"/>
      <c r="AP36" s="159"/>
      <c r="AQ36" s="159"/>
      <c r="AR36" s="159"/>
      <c r="AS36" s="152"/>
      <c r="AT36" s="152"/>
      <c r="AU36" s="183"/>
      <c r="AV36" s="152"/>
      <c r="AW36" s="152"/>
      <c r="AX36" s="183"/>
      <c r="AY36" s="152"/>
      <c r="AZ36" s="152"/>
      <c r="BA36" s="152"/>
      <c r="BB36" s="202"/>
      <c r="BC36" s="202"/>
      <c r="BD36" s="225"/>
      <c r="BE36" s="192"/>
      <c r="BF36" s="238"/>
      <c r="BG36" s="21"/>
      <c r="BH36" s="159"/>
      <c r="BI36" s="159"/>
      <c r="BJ36" s="159"/>
      <c r="BK36" s="159"/>
      <c r="BL36" s="152"/>
      <c r="BM36" s="152"/>
      <c r="BN36" s="17"/>
      <c r="BO36" s="152"/>
      <c r="BP36" s="152"/>
      <c r="BQ36" s="17"/>
      <c r="BR36" s="152"/>
      <c r="BS36" s="152"/>
      <c r="BT36" s="152"/>
      <c r="BU36" s="202"/>
      <c r="BV36" s="202"/>
      <c r="BW36" s="225"/>
      <c r="BX36" s="192"/>
      <c r="BY36" s="238"/>
      <c r="BZ36" s="21"/>
      <c r="CA36" s="159"/>
      <c r="CB36" s="159"/>
      <c r="CC36" s="159"/>
      <c r="CD36" s="159"/>
      <c r="CE36" s="152"/>
      <c r="CF36" s="152"/>
      <c r="CG36" s="17"/>
      <c r="CH36" s="152"/>
      <c r="CI36" s="152"/>
      <c r="CJ36" s="17"/>
      <c r="CK36" s="152"/>
      <c r="CL36" s="152"/>
      <c r="CM36" s="152"/>
      <c r="CN36" s="202"/>
      <c r="CO36" s="202"/>
      <c r="CP36" s="225"/>
      <c r="CQ36" s="192"/>
      <c r="CR36" s="370"/>
      <c r="CS36" s="351"/>
      <c r="CT36" s="327"/>
      <c r="CU36" s="327"/>
      <c r="CV36" s="327"/>
      <c r="CW36" s="327"/>
      <c r="CX36" s="327"/>
      <c r="CY36" s="327"/>
      <c r="CZ36" s="351"/>
      <c r="DA36" s="327"/>
      <c r="DB36" s="327"/>
      <c r="DC36" s="351"/>
      <c r="DD36" s="327"/>
      <c r="DE36" s="327"/>
      <c r="DF36" s="327"/>
      <c r="DG36" s="327"/>
      <c r="DH36" s="327"/>
      <c r="DI36" s="357"/>
      <c r="DJ36" s="192"/>
      <c r="DK36" s="192"/>
      <c r="DL36" s="192"/>
      <c r="DM36" s="192"/>
      <c r="DN36" s="192"/>
      <c r="DO36" s="192"/>
      <c r="DP36" s="192"/>
      <c r="DQ36" s="192"/>
      <c r="DR36" s="192"/>
      <c r="DS36" s="208"/>
    </row>
    <row r="37" spans="1:123" ht="15.75" customHeight="1">
      <c r="A37" s="188"/>
      <c r="B37" s="159"/>
      <c r="C37" s="159"/>
      <c r="D37" s="159"/>
      <c r="E37" s="159"/>
      <c r="F37" s="159"/>
      <c r="G37" s="159"/>
      <c r="H37" s="273"/>
      <c r="I37" s="273"/>
      <c r="J37" s="159"/>
      <c r="K37" s="273"/>
      <c r="L37" s="273"/>
      <c r="M37" s="159"/>
      <c r="N37" s="159"/>
      <c r="O37" s="159"/>
      <c r="P37" s="248"/>
      <c r="Q37" s="248"/>
      <c r="R37" s="225"/>
      <c r="S37" s="10"/>
      <c r="T37" s="188"/>
      <c r="U37" s="159"/>
      <c r="V37" s="159"/>
      <c r="W37" s="159"/>
      <c r="X37" s="159"/>
      <c r="Y37" s="159"/>
      <c r="Z37" s="152"/>
      <c r="AA37" s="203"/>
      <c r="AB37" s="203"/>
      <c r="AC37" s="152"/>
      <c r="AD37" s="203"/>
      <c r="AE37" s="203"/>
      <c r="AF37" s="152"/>
      <c r="AG37" s="152"/>
      <c r="AH37" s="152"/>
      <c r="AI37" s="202"/>
      <c r="AJ37" s="202"/>
      <c r="AK37" s="225"/>
      <c r="AL37" s="192"/>
      <c r="AM37" s="188"/>
      <c r="AN37" s="159"/>
      <c r="AO37" s="159"/>
      <c r="AP37" s="159"/>
      <c r="AQ37" s="159"/>
      <c r="AR37" s="159"/>
      <c r="AS37" s="152"/>
      <c r="AT37" s="203"/>
      <c r="AU37" s="203"/>
      <c r="AV37" s="152"/>
      <c r="AW37" s="203"/>
      <c r="AX37" s="203"/>
      <c r="AY37" s="152"/>
      <c r="AZ37" s="152"/>
      <c r="BA37" s="152"/>
      <c r="BB37" s="202"/>
      <c r="BC37" s="202"/>
      <c r="BD37" s="225"/>
      <c r="BE37" s="192"/>
      <c r="BF37" s="188"/>
      <c r="BG37" s="159"/>
      <c r="BH37" s="159"/>
      <c r="BI37" s="159"/>
      <c r="BJ37" s="159"/>
      <c r="BK37" s="159"/>
      <c r="BL37" s="152"/>
      <c r="BM37" s="203"/>
      <c r="BN37" s="203"/>
      <c r="BO37" s="152"/>
      <c r="BP37" s="203"/>
      <c r="BQ37" s="203"/>
      <c r="BR37" s="152"/>
      <c r="BS37" s="152"/>
      <c r="BT37" s="152"/>
      <c r="BU37" s="202"/>
      <c r="BV37" s="202"/>
      <c r="BW37" s="225"/>
      <c r="BX37" s="192"/>
      <c r="BY37" s="188"/>
      <c r="BZ37" s="159"/>
      <c r="CA37" s="159"/>
      <c r="CB37" s="159"/>
      <c r="CC37" s="159"/>
      <c r="CD37" s="159"/>
      <c r="CE37" s="152"/>
      <c r="CF37" s="203"/>
      <c r="CG37" s="203"/>
      <c r="CH37" s="152"/>
      <c r="CI37" s="203"/>
      <c r="CJ37" s="203"/>
      <c r="CK37" s="152"/>
      <c r="CL37" s="152"/>
      <c r="CM37" s="152"/>
      <c r="CN37" s="202"/>
      <c r="CO37" s="202"/>
      <c r="CP37" s="225"/>
      <c r="CQ37" s="192"/>
      <c r="CR37" s="379"/>
      <c r="CS37" s="327"/>
      <c r="CT37" s="327"/>
      <c r="CU37" s="327"/>
      <c r="CV37" s="327"/>
      <c r="CW37" s="327"/>
      <c r="CX37" s="327"/>
      <c r="CY37" s="354"/>
      <c r="CZ37" s="354"/>
      <c r="DA37" s="327"/>
      <c r="DB37" s="354"/>
      <c r="DC37" s="354"/>
      <c r="DD37" s="327"/>
      <c r="DE37" s="327"/>
      <c r="DF37" s="327"/>
      <c r="DG37" s="327"/>
      <c r="DH37" s="327"/>
      <c r="DI37" s="357"/>
      <c r="DJ37" s="192"/>
      <c r="DK37" s="192"/>
      <c r="DL37" s="192"/>
      <c r="DM37" s="192"/>
      <c r="DN37" s="192"/>
      <c r="DO37" s="192"/>
      <c r="DP37" s="192"/>
      <c r="DQ37" s="192"/>
      <c r="DR37" s="192"/>
      <c r="DS37" s="208"/>
    </row>
    <row r="38" spans="1:123" ht="15.75" customHeight="1">
      <c r="A38" s="238"/>
      <c r="B38" s="159"/>
      <c r="C38" s="159"/>
      <c r="D38" s="159"/>
      <c r="E38" s="159"/>
      <c r="F38" s="159"/>
      <c r="G38" s="159"/>
      <c r="H38" s="273"/>
      <c r="I38" s="273"/>
      <c r="J38" s="159"/>
      <c r="K38" s="273"/>
      <c r="L38" s="273"/>
      <c r="M38" s="159"/>
      <c r="N38" s="159"/>
      <c r="O38" s="159"/>
      <c r="P38" s="248"/>
      <c r="Q38" s="248"/>
      <c r="R38" s="225"/>
      <c r="S38" s="10"/>
      <c r="T38" s="188"/>
      <c r="U38" s="159"/>
      <c r="V38" s="159"/>
      <c r="W38" s="159"/>
      <c r="X38" s="159"/>
      <c r="Y38" s="159"/>
      <c r="Z38" s="152"/>
      <c r="AA38" s="203"/>
      <c r="AB38" s="203"/>
      <c r="AC38" s="152"/>
      <c r="AD38" s="203"/>
      <c r="AE38" s="203"/>
      <c r="AF38" s="152"/>
      <c r="AG38" s="152"/>
      <c r="AH38" s="152"/>
      <c r="AI38" s="202"/>
      <c r="AJ38" s="202"/>
      <c r="AK38" s="225"/>
      <c r="AL38" s="192"/>
      <c r="AM38" s="238"/>
      <c r="AN38" s="159"/>
      <c r="AO38" s="159"/>
      <c r="AP38" s="159"/>
      <c r="AQ38" s="159"/>
      <c r="AR38" s="159"/>
      <c r="AS38" s="152"/>
      <c r="AT38" s="203"/>
      <c r="AU38" s="203"/>
      <c r="AV38" s="152"/>
      <c r="AW38" s="203"/>
      <c r="AX38" s="203"/>
      <c r="AY38" s="152"/>
      <c r="AZ38" s="152"/>
      <c r="BA38" s="152"/>
      <c r="BB38" s="202"/>
      <c r="BC38" s="202"/>
      <c r="BD38" s="225"/>
      <c r="BE38" s="192"/>
      <c r="BF38" s="188"/>
      <c r="BG38" s="159"/>
      <c r="BH38" s="159"/>
      <c r="BI38" s="159"/>
      <c r="BJ38" s="159"/>
      <c r="BK38" s="159"/>
      <c r="BL38" s="152"/>
      <c r="BM38" s="203"/>
      <c r="BN38" s="203"/>
      <c r="BO38" s="152"/>
      <c r="BP38" s="203"/>
      <c r="BQ38" s="203"/>
      <c r="BR38" s="152"/>
      <c r="BS38" s="152"/>
      <c r="BT38" s="152"/>
      <c r="BU38" s="202"/>
      <c r="BV38" s="202"/>
      <c r="BW38" s="225"/>
      <c r="BX38" s="192"/>
      <c r="BY38" s="188"/>
      <c r="BZ38" s="159"/>
      <c r="CA38" s="159"/>
      <c r="CB38" s="159"/>
      <c r="CC38" s="159"/>
      <c r="CD38" s="159"/>
      <c r="CE38" s="152"/>
      <c r="CF38" s="203"/>
      <c r="CG38" s="203"/>
      <c r="CH38" s="152"/>
      <c r="CI38" s="203"/>
      <c r="CJ38" s="203"/>
      <c r="CK38" s="152"/>
      <c r="CL38" s="152"/>
      <c r="CM38" s="152"/>
      <c r="CN38" s="202"/>
      <c r="CO38" s="202"/>
      <c r="CP38" s="225"/>
      <c r="CQ38" s="192"/>
      <c r="CR38" s="379"/>
      <c r="CS38" s="327"/>
      <c r="CT38" s="327"/>
      <c r="CU38" s="327"/>
      <c r="CV38" s="327"/>
      <c r="CW38" s="327"/>
      <c r="CX38" s="327"/>
      <c r="CY38" s="354"/>
      <c r="CZ38" s="354"/>
      <c r="DA38" s="327"/>
      <c r="DB38" s="354"/>
      <c r="DC38" s="354"/>
      <c r="DD38" s="327"/>
      <c r="DE38" s="327"/>
      <c r="DF38" s="327"/>
      <c r="DG38" s="327"/>
      <c r="DH38" s="327"/>
      <c r="DI38" s="357"/>
      <c r="DJ38" s="192"/>
      <c r="DK38" s="192"/>
      <c r="DL38" s="192"/>
      <c r="DM38" s="192"/>
      <c r="DN38" s="192"/>
      <c r="DO38" s="192"/>
      <c r="DP38" s="192"/>
      <c r="DQ38" s="192"/>
      <c r="DR38" s="192"/>
      <c r="DS38" s="208"/>
    </row>
    <row r="39" spans="1:123" ht="15.75" customHeight="1" thickBot="1">
      <c r="A39" s="462"/>
      <c r="B39" s="463"/>
      <c r="C39" s="463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248"/>
      <c r="Q39" s="248"/>
      <c r="R39" s="225"/>
      <c r="S39" s="10"/>
      <c r="T39" s="454"/>
      <c r="U39" s="455"/>
      <c r="V39" s="455"/>
      <c r="W39" s="159"/>
      <c r="X39" s="159"/>
      <c r="Y39" s="159"/>
      <c r="Z39" s="152"/>
      <c r="AA39" s="152"/>
      <c r="AB39" s="152"/>
      <c r="AC39" s="152"/>
      <c r="AD39" s="152"/>
      <c r="AE39" s="152"/>
      <c r="AF39" s="152"/>
      <c r="AG39" s="152"/>
      <c r="AH39" s="152"/>
      <c r="AI39" s="202"/>
      <c r="AJ39" s="202"/>
      <c r="AK39" s="225"/>
      <c r="AL39" s="192"/>
      <c r="AM39" s="454"/>
      <c r="AN39" s="455"/>
      <c r="AO39" s="455"/>
      <c r="AP39" s="159"/>
      <c r="AQ39" s="159"/>
      <c r="AR39" s="159"/>
      <c r="AS39" s="152"/>
      <c r="AT39" s="152"/>
      <c r="AU39" s="152"/>
      <c r="AV39" s="152"/>
      <c r="AW39" s="152"/>
      <c r="AX39" s="152"/>
      <c r="AY39" s="152"/>
      <c r="AZ39" s="152"/>
      <c r="BA39" s="152"/>
      <c r="BB39" s="202"/>
      <c r="BC39" s="202"/>
      <c r="BD39" s="225"/>
      <c r="BE39" s="192"/>
      <c r="BF39" s="454"/>
      <c r="BG39" s="455"/>
      <c r="BH39" s="455"/>
      <c r="BI39" s="159"/>
      <c r="BJ39" s="159"/>
      <c r="BK39" s="159"/>
      <c r="BL39" s="152"/>
      <c r="BM39" s="152"/>
      <c r="BN39" s="152"/>
      <c r="BO39" s="152"/>
      <c r="BP39" s="152"/>
      <c r="BQ39" s="152"/>
      <c r="BR39" s="152"/>
      <c r="BS39" s="152"/>
      <c r="BT39" s="152"/>
      <c r="BU39" s="202"/>
      <c r="BV39" s="202"/>
      <c r="BW39" s="225"/>
      <c r="BX39" s="192"/>
      <c r="BY39" s="454"/>
      <c r="BZ39" s="455"/>
      <c r="CA39" s="455"/>
      <c r="CB39" s="159"/>
      <c r="CC39" s="159"/>
      <c r="CD39" s="159"/>
      <c r="CE39" s="152"/>
      <c r="CF39" s="152"/>
      <c r="CG39" s="152"/>
      <c r="CH39" s="152"/>
      <c r="CI39" s="152"/>
      <c r="CJ39" s="152"/>
      <c r="CK39" s="152"/>
      <c r="CL39" s="152"/>
      <c r="CM39" s="152"/>
      <c r="CN39" s="202"/>
      <c r="CO39" s="202"/>
      <c r="CP39" s="225"/>
      <c r="CQ39" s="192"/>
      <c r="CR39" s="471"/>
      <c r="CS39" s="472"/>
      <c r="CT39" s="472"/>
      <c r="CU39" s="327"/>
      <c r="CV39" s="327"/>
      <c r="CW39" s="327"/>
      <c r="CX39" s="327"/>
      <c r="CY39" s="327"/>
      <c r="CZ39" s="327"/>
      <c r="DA39" s="327"/>
      <c r="DB39" s="327"/>
      <c r="DC39" s="327"/>
      <c r="DD39" s="327"/>
      <c r="DE39" s="327"/>
      <c r="DF39" s="327"/>
      <c r="DG39" s="327"/>
      <c r="DH39" s="327"/>
      <c r="DI39" s="357"/>
      <c r="DJ39" s="192"/>
      <c r="DK39" s="192"/>
      <c r="DL39" s="192"/>
      <c r="DM39" s="192"/>
      <c r="DN39" s="192"/>
      <c r="DO39" s="192"/>
      <c r="DP39" s="192"/>
      <c r="DQ39" s="192"/>
      <c r="DR39" s="192"/>
      <c r="DS39" s="208"/>
    </row>
    <row r="40" spans="1:123" ht="15.75" customHeight="1" thickBot="1">
      <c r="A40" s="293"/>
      <c r="B40" s="294"/>
      <c r="C40" s="295"/>
      <c r="D40" s="159"/>
      <c r="E40" s="273"/>
      <c r="F40" s="273"/>
      <c r="G40" s="159"/>
      <c r="H40" s="159"/>
      <c r="I40" s="159"/>
      <c r="J40" s="159"/>
      <c r="K40" s="159"/>
      <c r="L40" s="159"/>
      <c r="M40" s="159"/>
      <c r="N40" s="159"/>
      <c r="O40" s="159"/>
      <c r="P40" s="248"/>
      <c r="Q40" s="248"/>
      <c r="R40" s="225"/>
      <c r="S40" s="10"/>
      <c r="T40" s="240"/>
      <c r="U40" s="204"/>
      <c r="V40" s="204"/>
      <c r="W40" s="159"/>
      <c r="X40" s="203"/>
      <c r="Y40" s="203"/>
      <c r="Z40" s="152"/>
      <c r="AA40" s="152"/>
      <c r="AB40" s="152"/>
      <c r="AC40" s="152"/>
      <c r="AD40" s="152"/>
      <c r="AE40" s="152"/>
      <c r="AF40" s="152"/>
      <c r="AG40" s="152"/>
      <c r="AH40" s="152"/>
      <c r="AI40" s="202"/>
      <c r="AJ40" s="202"/>
      <c r="AK40" s="225"/>
      <c r="AL40" s="192"/>
      <c r="AM40" s="296"/>
      <c r="AN40" s="294"/>
      <c r="AO40" s="204"/>
      <c r="AP40" s="159"/>
      <c r="AQ40" s="203"/>
      <c r="AR40" s="203"/>
      <c r="AS40" s="152"/>
      <c r="AT40" s="152"/>
      <c r="AU40" s="152"/>
      <c r="AV40" s="152"/>
      <c r="AW40" s="152"/>
      <c r="AX40" s="152"/>
      <c r="AY40" s="152"/>
      <c r="AZ40" s="152"/>
      <c r="BA40" s="152"/>
      <c r="BB40" s="202"/>
      <c r="BC40" s="202"/>
      <c r="BD40" s="225"/>
      <c r="BE40" s="192"/>
      <c r="BF40" s="240"/>
      <c r="BG40" s="204"/>
      <c r="BH40" s="204"/>
      <c r="BI40" s="159"/>
      <c r="BJ40" s="203"/>
      <c r="BK40" s="203"/>
      <c r="BL40" s="152"/>
      <c r="BM40" s="152"/>
      <c r="BN40" s="152"/>
      <c r="BO40" s="152"/>
      <c r="BP40" s="152"/>
      <c r="BQ40" s="152"/>
      <c r="BR40" s="152"/>
      <c r="BS40" s="152"/>
      <c r="BT40" s="152"/>
      <c r="BU40" s="202"/>
      <c r="BV40" s="202"/>
      <c r="BW40" s="225"/>
      <c r="BX40" s="192"/>
      <c r="BY40" s="240"/>
      <c r="BZ40" s="204"/>
      <c r="CA40" s="204"/>
      <c r="CB40" s="159"/>
      <c r="CC40" s="203"/>
      <c r="CD40" s="203"/>
      <c r="CE40" s="152"/>
      <c r="CF40" s="152"/>
      <c r="CG40" s="152"/>
      <c r="CH40" s="152"/>
      <c r="CI40" s="152"/>
      <c r="CJ40" s="152"/>
      <c r="CK40" s="152"/>
      <c r="CL40" s="152"/>
      <c r="CM40" s="152"/>
      <c r="CN40" s="202"/>
      <c r="CO40" s="202"/>
      <c r="CP40" s="225"/>
      <c r="CQ40" s="192"/>
      <c r="CR40" s="240"/>
      <c r="CS40" s="204"/>
      <c r="CT40" s="204"/>
      <c r="CU40" s="159"/>
      <c r="CV40" s="203"/>
      <c r="CW40" s="203"/>
      <c r="CX40" s="152"/>
      <c r="CY40" s="152"/>
      <c r="CZ40" s="152"/>
      <c r="DA40" s="152"/>
      <c r="DB40" s="152"/>
      <c r="DC40" s="152"/>
      <c r="DD40" s="152"/>
      <c r="DE40" s="152"/>
      <c r="DF40" s="152"/>
      <c r="DG40" s="202"/>
      <c r="DH40" s="202"/>
      <c r="DI40" s="225"/>
      <c r="DJ40" s="192"/>
      <c r="DK40" s="192"/>
      <c r="DL40" s="192"/>
      <c r="DM40" s="192"/>
      <c r="DN40" s="192"/>
      <c r="DO40" s="192"/>
      <c r="DP40" s="192"/>
      <c r="DQ40" s="192"/>
      <c r="DR40" s="192"/>
      <c r="DS40" s="208"/>
    </row>
    <row r="41" spans="1:123" ht="15.75" customHeight="1">
      <c r="A41" s="188"/>
      <c r="B41" s="159"/>
      <c r="C41" s="159"/>
      <c r="D41" s="159"/>
      <c r="E41" s="273"/>
      <c r="F41" s="273"/>
      <c r="G41" s="159"/>
      <c r="H41" s="159"/>
      <c r="I41" s="159"/>
      <c r="J41" s="159"/>
      <c r="K41" s="159"/>
      <c r="L41" s="159"/>
      <c r="M41" s="159"/>
      <c r="N41" s="159"/>
      <c r="O41" s="159"/>
      <c r="P41" s="248"/>
      <c r="Q41" s="248"/>
      <c r="R41" s="225"/>
      <c r="S41" s="10"/>
      <c r="T41" s="241"/>
      <c r="U41" s="159"/>
      <c r="V41" s="152"/>
      <c r="W41" s="159"/>
      <c r="X41" s="203"/>
      <c r="Y41" s="203"/>
      <c r="Z41" s="152"/>
      <c r="AA41" s="152"/>
      <c r="AB41" s="152"/>
      <c r="AC41" s="152"/>
      <c r="AD41" s="152"/>
      <c r="AE41" s="152"/>
      <c r="AF41" s="152"/>
      <c r="AG41" s="152"/>
      <c r="AH41" s="152"/>
      <c r="AI41" s="202"/>
      <c r="AJ41" s="202"/>
      <c r="AK41" s="225"/>
      <c r="AL41" s="192"/>
      <c r="AM41" s="241"/>
      <c r="AN41" s="159"/>
      <c r="AO41" s="152"/>
      <c r="AP41" s="159"/>
      <c r="AQ41" s="203"/>
      <c r="AR41" s="203"/>
      <c r="AS41" s="152"/>
      <c r="AT41" s="152"/>
      <c r="AU41" s="152"/>
      <c r="AV41" s="152"/>
      <c r="AW41" s="152"/>
      <c r="AX41" s="152"/>
      <c r="AY41" s="152"/>
      <c r="AZ41" s="152"/>
      <c r="BA41" s="152"/>
      <c r="BB41" s="202"/>
      <c r="BC41" s="202"/>
      <c r="BD41" s="225"/>
      <c r="BE41" s="192"/>
      <c r="BF41" s="241"/>
      <c r="BG41" s="159"/>
      <c r="BH41" s="152"/>
      <c r="BI41" s="159"/>
      <c r="BJ41" s="203"/>
      <c r="BK41" s="203"/>
      <c r="BL41" s="152"/>
      <c r="BM41" s="152"/>
      <c r="BN41" s="152"/>
      <c r="BO41" s="152"/>
      <c r="BP41" s="152"/>
      <c r="BQ41" s="152"/>
      <c r="BR41" s="152"/>
      <c r="BS41" s="152"/>
      <c r="BT41" s="152"/>
      <c r="BU41" s="202"/>
      <c r="BV41" s="202"/>
      <c r="BW41" s="225"/>
      <c r="BX41" s="192"/>
      <c r="BY41" s="241"/>
      <c r="BZ41" s="159"/>
      <c r="CA41" s="152"/>
      <c r="CB41" s="159"/>
      <c r="CC41" s="203"/>
      <c r="CD41" s="203"/>
      <c r="CE41" s="152"/>
      <c r="CF41" s="152"/>
      <c r="CG41" s="152"/>
      <c r="CH41" s="152"/>
      <c r="CI41" s="152"/>
      <c r="CJ41" s="152"/>
      <c r="CK41" s="152"/>
      <c r="CL41" s="152"/>
      <c r="CM41" s="152"/>
      <c r="CN41" s="202"/>
      <c r="CO41" s="202"/>
      <c r="CP41" s="225"/>
      <c r="CQ41" s="192"/>
      <c r="CR41" s="241"/>
      <c r="CS41" s="159"/>
      <c r="CT41" s="152"/>
      <c r="CU41" s="159"/>
      <c r="CV41" s="203"/>
      <c r="CW41" s="203"/>
      <c r="CX41" s="152"/>
      <c r="CY41" s="152"/>
      <c r="CZ41" s="152"/>
      <c r="DA41" s="152"/>
      <c r="DB41" s="152"/>
      <c r="DC41" s="152"/>
      <c r="DD41" s="152"/>
      <c r="DE41" s="152"/>
      <c r="DF41" s="152"/>
      <c r="DG41" s="202"/>
      <c r="DH41" s="202"/>
      <c r="DI41" s="225"/>
      <c r="DJ41" s="192"/>
      <c r="DK41" s="192"/>
      <c r="DL41" s="192"/>
      <c r="DM41" s="192"/>
      <c r="DN41" s="192"/>
      <c r="DO41" s="192"/>
      <c r="DP41" s="192"/>
      <c r="DQ41" s="192"/>
      <c r="DR41" s="192"/>
      <c r="DS41" s="208"/>
    </row>
    <row r="42" spans="1:123" ht="15.75" customHeight="1">
      <c r="A42" s="188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248"/>
      <c r="Q42" s="248"/>
      <c r="R42" s="225"/>
      <c r="S42" s="10"/>
      <c r="T42" s="241"/>
      <c r="U42" s="159"/>
      <c r="V42" s="152"/>
      <c r="W42" s="159"/>
      <c r="X42" s="159"/>
      <c r="Y42" s="159"/>
      <c r="Z42" s="152"/>
      <c r="AA42" s="152"/>
      <c r="AB42" s="152"/>
      <c r="AC42" s="152"/>
      <c r="AD42" s="152"/>
      <c r="AE42" s="152"/>
      <c r="AF42" s="152"/>
      <c r="AG42" s="152"/>
      <c r="AH42" s="152"/>
      <c r="AI42" s="202"/>
      <c r="AJ42" s="202"/>
      <c r="AK42" s="225"/>
      <c r="AL42" s="192"/>
      <c r="AM42" s="241"/>
      <c r="AN42" s="159"/>
      <c r="AO42" s="152"/>
      <c r="AP42" s="159"/>
      <c r="AQ42" s="159"/>
      <c r="AR42" s="159"/>
      <c r="AS42" s="152"/>
      <c r="AT42" s="152"/>
      <c r="AU42" s="152"/>
      <c r="AV42" s="152"/>
      <c r="AW42" s="152"/>
      <c r="AX42" s="152"/>
      <c r="AY42" s="152"/>
      <c r="AZ42" s="152"/>
      <c r="BA42" s="152"/>
      <c r="BB42" s="202"/>
      <c r="BC42" s="202"/>
      <c r="BD42" s="225"/>
      <c r="BE42" s="192"/>
      <c r="BF42" s="241"/>
      <c r="BG42" s="159"/>
      <c r="BH42" s="152"/>
      <c r="BI42" s="159"/>
      <c r="BJ42" s="159"/>
      <c r="BK42" s="159"/>
      <c r="BL42" s="152"/>
      <c r="BM42" s="152"/>
      <c r="BN42" s="152"/>
      <c r="BO42" s="152"/>
      <c r="BP42" s="152"/>
      <c r="BQ42" s="152"/>
      <c r="BR42" s="152"/>
      <c r="BS42" s="152"/>
      <c r="BT42" s="152"/>
      <c r="BU42" s="202"/>
      <c r="BV42" s="202"/>
      <c r="BW42" s="225"/>
      <c r="BX42" s="192"/>
      <c r="BY42" s="241"/>
      <c r="BZ42" s="159"/>
      <c r="CA42" s="152"/>
      <c r="CB42" s="159"/>
      <c r="CC42" s="159"/>
      <c r="CD42" s="159"/>
      <c r="CE42" s="152"/>
      <c r="CF42" s="152"/>
      <c r="CG42" s="152"/>
      <c r="CH42" s="152"/>
      <c r="CI42" s="152"/>
      <c r="CJ42" s="152"/>
      <c r="CK42" s="152"/>
      <c r="CL42" s="152"/>
      <c r="CM42" s="152"/>
      <c r="CN42" s="202"/>
      <c r="CO42" s="202"/>
      <c r="CP42" s="225"/>
      <c r="CQ42" s="192"/>
      <c r="CR42" s="241"/>
      <c r="CS42" s="159"/>
      <c r="CT42" s="152"/>
      <c r="CU42" s="159"/>
      <c r="CV42" s="159"/>
      <c r="CW42" s="159"/>
      <c r="CX42" s="152"/>
      <c r="CY42" s="152"/>
      <c r="CZ42" s="152"/>
      <c r="DA42" s="152"/>
      <c r="DB42" s="152"/>
      <c r="DC42" s="152"/>
      <c r="DD42" s="152"/>
      <c r="DE42" s="152"/>
      <c r="DF42" s="152"/>
      <c r="DG42" s="202"/>
      <c r="DH42" s="202"/>
      <c r="DI42" s="225"/>
      <c r="DJ42" s="192"/>
      <c r="DK42" s="192"/>
      <c r="DL42" s="192"/>
      <c r="DM42" s="192"/>
      <c r="DN42" s="192"/>
      <c r="DO42" s="192"/>
      <c r="DP42" s="192"/>
      <c r="DQ42" s="192"/>
      <c r="DR42" s="192"/>
      <c r="DS42" s="208"/>
    </row>
    <row r="43" spans="1:123" ht="15.75" customHeight="1" thickBot="1">
      <c r="A43" s="297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298"/>
      <c r="Q43" s="298"/>
      <c r="R43" s="244"/>
      <c r="S43" s="10"/>
      <c r="T43" s="242"/>
      <c r="U43" s="189"/>
      <c r="V43" s="190"/>
      <c r="W43" s="189"/>
      <c r="X43" s="189"/>
      <c r="Y43" s="189"/>
      <c r="Z43" s="190"/>
      <c r="AA43" s="190"/>
      <c r="AB43" s="190"/>
      <c r="AC43" s="190"/>
      <c r="AD43" s="190"/>
      <c r="AE43" s="190"/>
      <c r="AF43" s="190"/>
      <c r="AG43" s="190"/>
      <c r="AH43" s="190"/>
      <c r="AI43" s="243"/>
      <c r="AJ43" s="243"/>
      <c r="AK43" s="244"/>
      <c r="AL43" s="192"/>
      <c r="AM43" s="242"/>
      <c r="AN43" s="189"/>
      <c r="AO43" s="190"/>
      <c r="AP43" s="189"/>
      <c r="AQ43" s="189"/>
      <c r="AR43" s="189"/>
      <c r="AS43" s="190"/>
      <c r="AT43" s="190"/>
      <c r="AU43" s="190"/>
      <c r="AV43" s="190"/>
      <c r="AW43" s="190"/>
      <c r="AX43" s="190"/>
      <c r="AY43" s="190"/>
      <c r="AZ43" s="190"/>
      <c r="BA43" s="190"/>
      <c r="BB43" s="243"/>
      <c r="BC43" s="243"/>
      <c r="BD43" s="244"/>
      <c r="BE43" s="192"/>
      <c r="BF43" s="242"/>
      <c r="BG43" s="189"/>
      <c r="BH43" s="190"/>
      <c r="BI43" s="189"/>
      <c r="BJ43" s="189"/>
      <c r="BK43" s="189"/>
      <c r="BL43" s="190"/>
      <c r="BM43" s="190"/>
      <c r="BN43" s="190"/>
      <c r="BO43" s="190"/>
      <c r="BP43" s="190"/>
      <c r="BQ43" s="190"/>
      <c r="BR43" s="190"/>
      <c r="BS43" s="190"/>
      <c r="BT43" s="190"/>
      <c r="BU43" s="243"/>
      <c r="BV43" s="243"/>
      <c r="BW43" s="244"/>
      <c r="BX43" s="192"/>
      <c r="BY43" s="242"/>
      <c r="BZ43" s="189"/>
      <c r="CA43" s="190"/>
      <c r="CB43" s="189"/>
      <c r="CC43" s="189"/>
      <c r="CD43" s="189"/>
      <c r="CE43" s="190"/>
      <c r="CF43" s="190"/>
      <c r="CG43" s="190"/>
      <c r="CH43" s="190"/>
      <c r="CI43" s="190"/>
      <c r="CJ43" s="190"/>
      <c r="CK43" s="190"/>
      <c r="CL43" s="190"/>
      <c r="CM43" s="190"/>
      <c r="CN43" s="243"/>
      <c r="CO43" s="243"/>
      <c r="CP43" s="244"/>
      <c r="CQ43" s="192"/>
      <c r="CR43" s="242"/>
      <c r="CS43" s="189"/>
      <c r="CT43" s="190"/>
      <c r="CU43" s="189"/>
      <c r="CV43" s="189"/>
      <c r="CW43" s="189"/>
      <c r="CX43" s="190"/>
      <c r="CY43" s="190"/>
      <c r="CZ43" s="190"/>
      <c r="DA43" s="190"/>
      <c r="DB43" s="190"/>
      <c r="DC43" s="190"/>
      <c r="DD43" s="190"/>
      <c r="DE43" s="190"/>
      <c r="DF43" s="190"/>
      <c r="DG43" s="243"/>
      <c r="DH43" s="243"/>
      <c r="DI43" s="244"/>
      <c r="DJ43" s="192"/>
      <c r="DK43" s="192"/>
      <c r="DL43" s="192"/>
      <c r="DM43" s="192"/>
      <c r="DN43" s="192"/>
      <c r="DO43" s="192"/>
      <c r="DP43" s="192"/>
      <c r="DQ43" s="192"/>
      <c r="DR43" s="192"/>
      <c r="DS43" s="208"/>
    </row>
    <row r="44" spans="1:123" ht="15.75" customHeight="1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248"/>
      <c r="Q44" s="248"/>
      <c r="R44" s="202"/>
      <c r="S44" s="10"/>
      <c r="T44" s="160"/>
      <c r="U44" s="160"/>
      <c r="V44" s="160"/>
      <c r="W44" s="160"/>
      <c r="X44" s="160"/>
      <c r="Y44" s="160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60"/>
      <c r="AN44" s="160"/>
      <c r="AO44" s="160"/>
      <c r="AP44" s="160"/>
      <c r="AQ44" s="160"/>
      <c r="AR44" s="160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60"/>
      <c r="BG44" s="160"/>
      <c r="BH44" s="160"/>
      <c r="BI44" s="160"/>
      <c r="BJ44" s="160"/>
      <c r="BK44" s="160"/>
      <c r="BL44" s="192"/>
      <c r="BM44" s="192"/>
      <c r="BN44" s="192"/>
      <c r="BO44" s="192"/>
      <c r="BP44" s="192"/>
      <c r="BQ44" s="192"/>
      <c r="BR44" s="192"/>
      <c r="BS44" s="192"/>
      <c r="BT44" s="192"/>
      <c r="BU44" s="192"/>
      <c r="BV44" s="192"/>
      <c r="BW44" s="192"/>
      <c r="BX44" s="192"/>
      <c r="BY44" s="160"/>
      <c r="BZ44" s="160"/>
      <c r="CA44" s="160"/>
      <c r="CB44" s="160"/>
      <c r="CC44" s="160"/>
      <c r="CD44" s="160"/>
      <c r="CE44" s="192"/>
      <c r="CF44" s="192"/>
      <c r="CG44" s="192"/>
      <c r="CH44" s="192"/>
      <c r="CI44" s="192"/>
      <c r="CJ44" s="192"/>
      <c r="CK44" s="192"/>
      <c r="CL44" s="192"/>
      <c r="CM44" s="192"/>
      <c r="CN44" s="192"/>
      <c r="CO44" s="192"/>
      <c r="CP44" s="192"/>
      <c r="CQ44" s="192"/>
      <c r="CR44" s="160"/>
      <c r="CS44" s="160"/>
      <c r="CT44" s="160"/>
      <c r="CU44" s="160"/>
      <c r="CV44" s="160"/>
      <c r="CW44" s="160"/>
      <c r="CX44" s="192"/>
      <c r="CY44" s="192"/>
      <c r="CZ44" s="192"/>
      <c r="DA44" s="192"/>
      <c r="DB44" s="192"/>
      <c r="DC44" s="192"/>
      <c r="DD44" s="192"/>
      <c r="DE44" s="192"/>
      <c r="DF44" s="192"/>
      <c r="DG44" s="205"/>
      <c r="DH44" s="205"/>
      <c r="DI44" s="205"/>
      <c r="DJ44" s="192"/>
      <c r="DK44" s="192"/>
      <c r="DL44" s="192"/>
      <c r="DM44" s="192"/>
      <c r="DN44" s="192"/>
      <c r="DO44" s="192"/>
      <c r="DP44" s="192"/>
      <c r="DQ44" s="192"/>
      <c r="DR44" s="192"/>
      <c r="DS44" s="208"/>
    </row>
    <row r="45" spans="1:123" ht="15.75" customHeight="1" thickBot="1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248"/>
      <c r="Q45" s="248"/>
      <c r="R45" s="202"/>
      <c r="S45" s="10"/>
      <c r="T45" s="160"/>
      <c r="U45" s="160"/>
      <c r="V45" s="160"/>
      <c r="W45" s="160"/>
      <c r="X45" s="160"/>
      <c r="Y45" s="160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60"/>
      <c r="AN45" s="160"/>
      <c r="AO45" s="160"/>
      <c r="AP45" s="160"/>
      <c r="AQ45" s="160"/>
      <c r="AR45" s="160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60"/>
      <c r="BG45" s="160"/>
      <c r="BH45" s="160"/>
      <c r="BI45" s="160"/>
      <c r="BJ45" s="160"/>
      <c r="BK45" s="160"/>
      <c r="BL45" s="192"/>
      <c r="BM45" s="192"/>
      <c r="BN45" s="192"/>
      <c r="BO45" s="192"/>
      <c r="BP45" s="192"/>
      <c r="BQ45" s="192"/>
      <c r="BR45" s="192"/>
      <c r="BS45" s="192"/>
      <c r="BT45" s="192"/>
      <c r="BU45" s="192"/>
      <c r="BV45" s="192"/>
      <c r="BW45" s="192"/>
      <c r="BX45" s="192"/>
      <c r="BY45" s="160"/>
      <c r="BZ45" s="160"/>
      <c r="CA45" s="160"/>
      <c r="CB45" s="160"/>
      <c r="CC45" s="160"/>
      <c r="CD45" s="160"/>
      <c r="CE45" s="192"/>
      <c r="CF45" s="192"/>
      <c r="CG45" s="192"/>
      <c r="CH45" s="192"/>
      <c r="CI45" s="192"/>
      <c r="CJ45" s="192"/>
      <c r="CK45" s="192"/>
      <c r="CL45" s="192"/>
      <c r="CM45" s="192"/>
      <c r="CN45" s="192"/>
      <c r="CO45" s="192"/>
      <c r="CP45" s="192"/>
      <c r="CQ45" s="192"/>
      <c r="CR45" s="160"/>
      <c r="CS45" s="160"/>
      <c r="CT45" s="160"/>
      <c r="CU45" s="160"/>
      <c r="CV45" s="160"/>
      <c r="CW45" s="160"/>
      <c r="CX45" s="192"/>
      <c r="CY45" s="192"/>
      <c r="CZ45" s="192"/>
      <c r="DA45" s="192"/>
      <c r="DB45" s="192"/>
      <c r="DC45" s="192"/>
      <c r="DD45" s="192"/>
      <c r="DE45" s="192"/>
      <c r="DF45" s="192"/>
      <c r="DG45" s="205"/>
      <c r="DH45" s="205"/>
      <c r="DI45" s="205"/>
      <c r="DJ45" s="192"/>
      <c r="DK45" s="192"/>
      <c r="DL45" s="192"/>
      <c r="DM45" s="192"/>
      <c r="DN45" s="192"/>
      <c r="DO45" s="192"/>
      <c r="DP45" s="192"/>
      <c r="DQ45" s="192"/>
      <c r="DR45" s="192"/>
      <c r="DS45" s="208"/>
    </row>
    <row r="46" spans="1:123" ht="15.75" customHeight="1">
      <c r="A46" s="245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7"/>
      <c r="Q46" s="247"/>
      <c r="R46" s="224"/>
      <c r="S46" s="10"/>
      <c r="T46" s="222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223"/>
      <c r="AJ46" s="223"/>
      <c r="AK46" s="224"/>
      <c r="AL46" s="192"/>
      <c r="AM46" s="222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187"/>
      <c r="AZ46" s="187"/>
      <c r="BA46" s="187"/>
      <c r="BB46" s="223"/>
      <c r="BC46" s="223"/>
      <c r="BD46" s="224"/>
      <c r="BE46" s="192"/>
      <c r="BF46" s="222"/>
      <c r="BG46" s="187"/>
      <c r="BH46" s="187"/>
      <c r="BI46" s="187"/>
      <c r="BJ46" s="187"/>
      <c r="BK46" s="187"/>
      <c r="BL46" s="187"/>
      <c r="BM46" s="187"/>
      <c r="BN46" s="187"/>
      <c r="BO46" s="187"/>
      <c r="BP46" s="187"/>
      <c r="BQ46" s="187"/>
      <c r="BR46" s="187"/>
      <c r="BS46" s="187"/>
      <c r="BT46" s="187"/>
      <c r="BU46" s="223"/>
      <c r="BV46" s="223"/>
      <c r="BW46" s="224"/>
      <c r="BX46" s="192"/>
      <c r="BY46" s="222"/>
      <c r="BZ46" s="187"/>
      <c r="CA46" s="187"/>
      <c r="CB46" s="187"/>
      <c r="CC46" s="187"/>
      <c r="CD46" s="187"/>
      <c r="CE46" s="187"/>
      <c r="CF46" s="187"/>
      <c r="CG46" s="187"/>
      <c r="CH46" s="187"/>
      <c r="CI46" s="187"/>
      <c r="CJ46" s="187"/>
      <c r="CK46" s="187"/>
      <c r="CL46" s="187"/>
      <c r="CM46" s="187"/>
      <c r="CN46" s="223"/>
      <c r="CO46" s="223"/>
      <c r="CP46" s="224"/>
      <c r="CQ46" s="192"/>
      <c r="CR46" s="222"/>
      <c r="CS46" s="187"/>
      <c r="CT46" s="187"/>
      <c r="CU46" s="187"/>
      <c r="CV46" s="187"/>
      <c r="CW46" s="187"/>
      <c r="CX46" s="187"/>
      <c r="CY46" s="187"/>
      <c r="CZ46" s="187"/>
      <c r="DA46" s="187"/>
      <c r="DB46" s="187"/>
      <c r="DC46" s="187"/>
      <c r="DD46" s="187"/>
      <c r="DE46" s="187"/>
      <c r="DF46" s="187"/>
      <c r="DG46" s="223"/>
      <c r="DH46" s="223"/>
      <c r="DI46" s="224"/>
      <c r="DJ46" s="192"/>
      <c r="DK46" s="192"/>
      <c r="DL46" s="192"/>
      <c r="DM46" s="192"/>
      <c r="DN46" s="192"/>
      <c r="DO46" s="192"/>
      <c r="DP46" s="192"/>
      <c r="DQ46" s="192"/>
      <c r="DR46" s="192"/>
      <c r="DS46" s="208"/>
    </row>
    <row r="47" spans="1:123" ht="15.75" customHeight="1">
      <c r="A47" s="473"/>
      <c r="B47" s="474"/>
      <c r="C47" s="474"/>
      <c r="D47" s="474"/>
      <c r="E47" s="474"/>
      <c r="F47" s="474"/>
      <c r="G47" s="474"/>
      <c r="H47" s="159"/>
      <c r="I47" s="159"/>
      <c r="J47" s="159"/>
      <c r="K47" s="159"/>
      <c r="L47" s="159"/>
      <c r="M47" s="159"/>
      <c r="N47" s="159"/>
      <c r="O47" s="159"/>
      <c r="P47" s="248"/>
      <c r="Q47" s="248"/>
      <c r="R47" s="225"/>
      <c r="S47" s="10"/>
      <c r="T47" s="456"/>
      <c r="U47" s="457"/>
      <c r="V47" s="457"/>
      <c r="W47" s="457"/>
      <c r="X47" s="457"/>
      <c r="Y47" s="457"/>
      <c r="Z47" s="457"/>
      <c r="AA47" s="152"/>
      <c r="AB47" s="152"/>
      <c r="AC47" s="152"/>
      <c r="AD47" s="152"/>
      <c r="AE47" s="152"/>
      <c r="AF47" s="152"/>
      <c r="AG47" s="152"/>
      <c r="AH47" s="152"/>
      <c r="AI47" s="202"/>
      <c r="AJ47" s="202"/>
      <c r="AK47" s="225"/>
      <c r="AL47" s="192"/>
      <c r="AM47" s="456"/>
      <c r="AN47" s="457"/>
      <c r="AO47" s="457"/>
      <c r="AP47" s="457"/>
      <c r="AQ47" s="457"/>
      <c r="AR47" s="457"/>
      <c r="AS47" s="457"/>
      <c r="AT47" s="152"/>
      <c r="AU47" s="152"/>
      <c r="AV47" s="152"/>
      <c r="AW47" s="152"/>
      <c r="AX47" s="152"/>
      <c r="AY47" s="152"/>
      <c r="AZ47" s="152"/>
      <c r="BA47" s="152"/>
      <c r="BB47" s="202"/>
      <c r="BC47" s="202"/>
      <c r="BD47" s="225"/>
      <c r="BE47" s="192"/>
      <c r="BF47" s="456"/>
      <c r="BG47" s="457"/>
      <c r="BH47" s="457"/>
      <c r="BI47" s="457"/>
      <c r="BJ47" s="457"/>
      <c r="BK47" s="457"/>
      <c r="BL47" s="457"/>
      <c r="BM47" s="152"/>
      <c r="BN47" s="152"/>
      <c r="BO47" s="152"/>
      <c r="BP47" s="152"/>
      <c r="BQ47" s="152"/>
      <c r="BR47" s="152"/>
      <c r="BS47" s="152"/>
      <c r="BT47" s="152"/>
      <c r="BU47" s="202"/>
      <c r="BV47" s="202"/>
      <c r="BW47" s="225"/>
      <c r="BX47" s="192"/>
      <c r="BY47" s="456"/>
      <c r="BZ47" s="457"/>
      <c r="CA47" s="457"/>
      <c r="CB47" s="457"/>
      <c r="CC47" s="457"/>
      <c r="CD47" s="457"/>
      <c r="CE47" s="457"/>
      <c r="CF47" s="152"/>
      <c r="CG47" s="152"/>
      <c r="CH47" s="152"/>
      <c r="CI47" s="152"/>
      <c r="CJ47" s="152"/>
      <c r="CK47" s="152"/>
      <c r="CL47" s="152"/>
      <c r="CM47" s="152"/>
      <c r="CN47" s="202"/>
      <c r="CO47" s="202"/>
      <c r="CP47" s="225"/>
      <c r="CQ47" s="192"/>
      <c r="CR47" s="456"/>
      <c r="CS47" s="457"/>
      <c r="CT47" s="457"/>
      <c r="CU47" s="457"/>
      <c r="CV47" s="457"/>
      <c r="CW47" s="457"/>
      <c r="CX47" s="457"/>
      <c r="CY47" s="152"/>
      <c r="CZ47" s="152"/>
      <c r="DA47" s="152"/>
      <c r="DB47" s="152"/>
      <c r="DC47" s="152"/>
      <c r="DD47" s="152"/>
      <c r="DE47" s="152"/>
      <c r="DF47" s="152"/>
      <c r="DG47" s="202"/>
      <c r="DH47" s="202"/>
      <c r="DI47" s="225"/>
      <c r="DJ47" s="192"/>
      <c r="DK47" s="192"/>
      <c r="DL47" s="192"/>
      <c r="DM47" s="192"/>
      <c r="DN47" s="192"/>
      <c r="DO47" s="192"/>
      <c r="DP47" s="192"/>
      <c r="DQ47" s="192"/>
      <c r="DR47" s="192"/>
      <c r="DS47" s="208"/>
    </row>
    <row r="48" spans="1:123" ht="15.75" customHeight="1">
      <c r="A48" s="464"/>
      <c r="B48" s="465"/>
      <c r="C48" s="465"/>
      <c r="D48" s="465"/>
      <c r="E48" s="465"/>
      <c r="F48" s="465"/>
      <c r="G48" s="465"/>
      <c r="H48" s="159"/>
      <c r="I48" s="159"/>
      <c r="J48" s="159"/>
      <c r="K48" s="159"/>
      <c r="L48" s="159"/>
      <c r="M48" s="159"/>
      <c r="N48" s="159"/>
      <c r="O48" s="159"/>
      <c r="P48" s="248"/>
      <c r="Q48" s="248"/>
      <c r="R48" s="225"/>
      <c r="S48" s="10"/>
      <c r="T48" s="458"/>
      <c r="U48" s="459"/>
      <c r="V48" s="459"/>
      <c r="W48" s="459"/>
      <c r="X48" s="459"/>
      <c r="Y48" s="459"/>
      <c r="Z48" s="459"/>
      <c r="AA48" s="152"/>
      <c r="AB48" s="152"/>
      <c r="AC48" s="152"/>
      <c r="AD48" s="152"/>
      <c r="AE48" s="152"/>
      <c r="AF48" s="152"/>
      <c r="AG48" s="152"/>
      <c r="AH48" s="152"/>
      <c r="AI48" s="202"/>
      <c r="AJ48" s="202"/>
      <c r="AK48" s="225"/>
      <c r="AL48" s="192"/>
      <c r="AM48" s="458"/>
      <c r="AN48" s="459"/>
      <c r="AO48" s="459"/>
      <c r="AP48" s="459"/>
      <c r="AQ48" s="459"/>
      <c r="AR48" s="459"/>
      <c r="AS48" s="459"/>
      <c r="AT48" s="152"/>
      <c r="AU48" s="152"/>
      <c r="AV48" s="152"/>
      <c r="AW48" s="152"/>
      <c r="AX48" s="152"/>
      <c r="AY48" s="152"/>
      <c r="AZ48" s="152"/>
      <c r="BA48" s="152"/>
      <c r="BB48" s="202"/>
      <c r="BC48" s="202"/>
      <c r="BD48" s="225"/>
      <c r="BE48" s="192"/>
      <c r="BF48" s="458"/>
      <c r="BG48" s="459"/>
      <c r="BH48" s="459"/>
      <c r="BI48" s="459"/>
      <c r="BJ48" s="459"/>
      <c r="BK48" s="459"/>
      <c r="BL48" s="459"/>
      <c r="BM48" s="152"/>
      <c r="BN48" s="152"/>
      <c r="BO48" s="152"/>
      <c r="BP48" s="152"/>
      <c r="BQ48" s="152"/>
      <c r="BR48" s="152"/>
      <c r="BS48" s="152"/>
      <c r="BT48" s="152"/>
      <c r="BU48" s="202"/>
      <c r="BV48" s="202"/>
      <c r="BW48" s="225"/>
      <c r="BX48" s="192"/>
      <c r="BY48" s="458"/>
      <c r="BZ48" s="459"/>
      <c r="CA48" s="459"/>
      <c r="CB48" s="459"/>
      <c r="CC48" s="459"/>
      <c r="CD48" s="459"/>
      <c r="CE48" s="459"/>
      <c r="CF48" s="152"/>
      <c r="CG48" s="152"/>
      <c r="CH48" s="152"/>
      <c r="CI48" s="152"/>
      <c r="CJ48" s="152"/>
      <c r="CK48" s="152"/>
      <c r="CL48" s="152"/>
      <c r="CM48" s="152"/>
      <c r="CN48" s="202"/>
      <c r="CO48" s="202"/>
      <c r="CP48" s="225"/>
      <c r="CQ48" s="192"/>
      <c r="CR48" s="458"/>
      <c r="CS48" s="459"/>
      <c r="CT48" s="459"/>
      <c r="CU48" s="459"/>
      <c r="CV48" s="459"/>
      <c r="CW48" s="459"/>
      <c r="CX48" s="459"/>
      <c r="CY48" s="152"/>
      <c r="CZ48" s="152"/>
      <c r="DA48" s="152"/>
      <c r="DB48" s="152"/>
      <c r="DC48" s="152"/>
      <c r="DD48" s="152"/>
      <c r="DE48" s="152"/>
      <c r="DF48" s="152"/>
      <c r="DG48" s="202"/>
      <c r="DH48" s="202"/>
      <c r="DI48" s="225"/>
      <c r="DJ48" s="192"/>
      <c r="DK48" s="192"/>
      <c r="DL48" s="192"/>
      <c r="DM48" s="192"/>
      <c r="DN48" s="192"/>
      <c r="DO48" s="192"/>
      <c r="DP48" s="192"/>
      <c r="DQ48" s="192"/>
      <c r="DR48" s="192"/>
      <c r="DS48" s="208"/>
    </row>
    <row r="49" spans="1:123" ht="15.75" customHeight="1" thickBot="1">
      <c r="A49" s="188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248"/>
      <c r="Q49" s="248"/>
      <c r="R49" s="225"/>
      <c r="S49" s="10"/>
      <c r="T49" s="188"/>
      <c r="U49" s="159"/>
      <c r="V49" s="159"/>
      <c r="W49" s="159"/>
      <c r="X49" s="159"/>
      <c r="Y49" s="159"/>
      <c r="Z49" s="152"/>
      <c r="AA49" s="152"/>
      <c r="AB49" s="152"/>
      <c r="AC49" s="152"/>
      <c r="AD49" s="152"/>
      <c r="AE49" s="152"/>
      <c r="AF49" s="152"/>
      <c r="AG49" s="152"/>
      <c r="AH49" s="152"/>
      <c r="AI49" s="202"/>
      <c r="AJ49" s="202"/>
      <c r="AK49" s="225"/>
      <c r="AL49" s="192"/>
      <c r="AM49" s="188"/>
      <c r="AN49" s="159"/>
      <c r="AO49" s="159"/>
      <c r="AP49" s="159"/>
      <c r="AQ49" s="159"/>
      <c r="AR49" s="159"/>
      <c r="AS49" s="152"/>
      <c r="AT49" s="152"/>
      <c r="AU49" s="152"/>
      <c r="AV49" s="152"/>
      <c r="AW49" s="152"/>
      <c r="AX49" s="152"/>
      <c r="AY49" s="152"/>
      <c r="AZ49" s="152"/>
      <c r="BA49" s="152"/>
      <c r="BB49" s="202"/>
      <c r="BC49" s="202"/>
      <c r="BD49" s="225"/>
      <c r="BE49" s="192"/>
      <c r="BF49" s="188"/>
      <c r="BG49" s="159"/>
      <c r="BH49" s="159"/>
      <c r="BI49" s="159"/>
      <c r="BJ49" s="159"/>
      <c r="BK49" s="159"/>
      <c r="BL49" s="152"/>
      <c r="BM49" s="152"/>
      <c r="BN49" s="152"/>
      <c r="BO49" s="152"/>
      <c r="BP49" s="152"/>
      <c r="BQ49" s="152"/>
      <c r="BR49" s="152"/>
      <c r="BS49" s="152"/>
      <c r="BT49" s="152"/>
      <c r="BU49" s="202"/>
      <c r="BV49" s="202"/>
      <c r="BW49" s="225"/>
      <c r="BX49" s="192"/>
      <c r="BY49" s="188"/>
      <c r="BZ49" s="159"/>
      <c r="CA49" s="159"/>
      <c r="CB49" s="159"/>
      <c r="CC49" s="159"/>
      <c r="CD49" s="159"/>
      <c r="CE49" s="152"/>
      <c r="CF49" s="152"/>
      <c r="CG49" s="152"/>
      <c r="CH49" s="152"/>
      <c r="CI49" s="152"/>
      <c r="CJ49" s="152"/>
      <c r="CK49" s="152"/>
      <c r="CL49" s="152"/>
      <c r="CM49" s="152"/>
      <c r="CN49" s="202"/>
      <c r="CO49" s="202"/>
      <c r="CP49" s="225"/>
      <c r="CQ49" s="192"/>
      <c r="CR49" s="188"/>
      <c r="CS49" s="159"/>
      <c r="CT49" s="159"/>
      <c r="CU49" s="159"/>
      <c r="CV49" s="159"/>
      <c r="CW49" s="159"/>
      <c r="CX49" s="152"/>
      <c r="CY49" s="152"/>
      <c r="CZ49" s="152"/>
      <c r="DA49" s="152"/>
      <c r="DB49" s="152"/>
      <c r="DC49" s="152"/>
      <c r="DD49" s="152"/>
      <c r="DE49" s="152"/>
      <c r="DF49" s="152"/>
      <c r="DG49" s="202"/>
      <c r="DH49" s="202"/>
      <c r="DI49" s="225"/>
      <c r="DJ49" s="192"/>
      <c r="DK49" s="192"/>
      <c r="DL49" s="192"/>
      <c r="DM49" s="192"/>
      <c r="DN49" s="192"/>
      <c r="DO49" s="192"/>
      <c r="DP49" s="192"/>
      <c r="DQ49" s="192"/>
      <c r="DR49" s="192"/>
      <c r="DS49" s="208"/>
    </row>
    <row r="50" spans="1:123" ht="15.75" customHeight="1" thickBot="1">
      <c r="A50" s="226"/>
      <c r="B50" s="159"/>
      <c r="C50" s="159"/>
      <c r="D50" s="159"/>
      <c r="E50" s="153"/>
      <c r="F50" s="159"/>
      <c r="G50" s="159"/>
      <c r="H50" s="153"/>
      <c r="I50" s="159"/>
      <c r="J50" s="159"/>
      <c r="K50" s="153"/>
      <c r="L50" s="159"/>
      <c r="M50" s="159"/>
      <c r="N50" s="249"/>
      <c r="O50" s="159"/>
      <c r="P50" s="248"/>
      <c r="Q50" s="449"/>
      <c r="R50" s="450"/>
      <c r="S50" s="10"/>
      <c r="T50" s="226"/>
      <c r="U50" s="159"/>
      <c r="V50" s="159"/>
      <c r="W50" s="159"/>
      <c r="X50" s="153"/>
      <c r="Y50" s="159"/>
      <c r="Z50" s="152"/>
      <c r="AA50" s="153"/>
      <c r="AB50" s="159"/>
      <c r="AC50" s="152"/>
      <c r="AD50" s="153"/>
      <c r="AE50" s="159"/>
      <c r="AF50" s="152"/>
      <c r="AG50" s="154"/>
      <c r="AH50" s="152"/>
      <c r="AI50" s="202"/>
      <c r="AJ50" s="449"/>
      <c r="AK50" s="450"/>
      <c r="AL50" s="192"/>
      <c r="AM50" s="226"/>
      <c r="AN50" s="159"/>
      <c r="AO50" s="159"/>
      <c r="AP50" s="159"/>
      <c r="AQ50" s="153"/>
      <c r="AR50" s="159"/>
      <c r="AS50" s="152"/>
      <c r="AT50" s="153"/>
      <c r="AU50" s="159"/>
      <c r="AV50" s="152"/>
      <c r="AW50" s="153"/>
      <c r="AX50" s="159"/>
      <c r="AY50" s="152"/>
      <c r="AZ50" s="154"/>
      <c r="BA50" s="152"/>
      <c r="BB50" s="202"/>
      <c r="BC50" s="449"/>
      <c r="BD50" s="450"/>
      <c r="BE50" s="192"/>
      <c r="BF50" s="226"/>
      <c r="BG50" s="159"/>
      <c r="BH50" s="159"/>
      <c r="BI50" s="159"/>
      <c r="BJ50" s="153"/>
      <c r="BK50" s="159"/>
      <c r="BL50" s="152"/>
      <c r="BM50" s="153"/>
      <c r="BN50" s="159"/>
      <c r="BO50" s="152"/>
      <c r="BP50" s="153"/>
      <c r="BQ50" s="159"/>
      <c r="BR50" s="152"/>
      <c r="BS50" s="154"/>
      <c r="BT50" s="152"/>
      <c r="BU50" s="202"/>
      <c r="BV50" s="449"/>
      <c r="BW50" s="450"/>
      <c r="BX50" s="192"/>
      <c r="BY50" s="226"/>
      <c r="BZ50" s="159"/>
      <c r="CA50" s="159"/>
      <c r="CB50" s="159"/>
      <c r="CC50" s="153"/>
      <c r="CD50" s="159"/>
      <c r="CE50" s="152"/>
      <c r="CF50" s="153"/>
      <c r="CG50" s="159"/>
      <c r="CH50" s="152"/>
      <c r="CI50" s="153"/>
      <c r="CJ50" s="159"/>
      <c r="CK50" s="152"/>
      <c r="CL50" s="154"/>
      <c r="CM50" s="152"/>
      <c r="CN50" s="202"/>
      <c r="CO50" s="449"/>
      <c r="CP50" s="450"/>
      <c r="CQ50" s="192"/>
      <c r="CR50" s="226"/>
      <c r="CS50" s="159"/>
      <c r="CT50" s="159"/>
      <c r="CU50" s="159"/>
      <c r="CV50" s="153"/>
      <c r="CW50" s="159"/>
      <c r="CX50" s="152"/>
      <c r="CY50" s="153"/>
      <c r="CZ50" s="159"/>
      <c r="DA50" s="152"/>
      <c r="DB50" s="153"/>
      <c r="DC50" s="159"/>
      <c r="DD50" s="152"/>
      <c r="DE50" s="154"/>
      <c r="DF50" s="152"/>
      <c r="DG50" s="202"/>
      <c r="DH50" s="449"/>
      <c r="DI50" s="450"/>
      <c r="DJ50" s="192"/>
      <c r="DK50" s="192"/>
      <c r="DL50" s="192"/>
      <c r="DM50" s="192"/>
      <c r="DN50" s="192"/>
      <c r="DO50" s="192"/>
      <c r="DP50" s="192"/>
      <c r="DQ50" s="192"/>
      <c r="DR50" s="192"/>
      <c r="DS50" s="208"/>
    </row>
    <row r="51" spans="1:123" ht="15.75" customHeight="1">
      <c r="A51" s="227"/>
      <c r="B51" s="252"/>
      <c r="C51" s="159"/>
      <c r="D51" s="159"/>
      <c r="E51" s="144"/>
      <c r="F51" s="145"/>
      <c r="G51" s="159"/>
      <c r="H51" s="144"/>
      <c r="I51" s="145"/>
      <c r="J51" s="159"/>
      <c r="K51" s="144"/>
      <c r="L51" s="145"/>
      <c r="M51" s="159"/>
      <c r="N51" s="253"/>
      <c r="O51" s="22"/>
      <c r="P51" s="248"/>
      <c r="Q51" s="254"/>
      <c r="R51" s="228"/>
      <c r="S51" s="10"/>
      <c r="T51" s="227"/>
      <c r="U51" s="194"/>
      <c r="V51" s="159"/>
      <c r="W51" s="159"/>
      <c r="X51" s="144"/>
      <c r="Y51" s="145"/>
      <c r="Z51" s="152"/>
      <c r="AA51" s="144"/>
      <c r="AB51" s="145"/>
      <c r="AC51" s="159"/>
      <c r="AD51" s="144"/>
      <c r="AE51" s="145"/>
      <c r="AF51" s="152"/>
      <c r="AG51" s="23"/>
      <c r="AH51" s="3"/>
      <c r="AI51" s="202"/>
      <c r="AJ51" s="200"/>
      <c r="AK51" s="228"/>
      <c r="AL51" s="192"/>
      <c r="AM51" s="227"/>
      <c r="AN51" s="194"/>
      <c r="AO51" s="159"/>
      <c r="AP51" s="159"/>
      <c r="AQ51" s="144"/>
      <c r="AR51" s="145"/>
      <c r="AS51" s="152"/>
      <c r="AT51" s="144"/>
      <c r="AU51" s="145"/>
      <c r="AV51" s="159"/>
      <c r="AW51" s="144"/>
      <c r="AX51" s="145"/>
      <c r="AY51" s="152"/>
      <c r="AZ51" s="23"/>
      <c r="BA51" s="3"/>
      <c r="BB51" s="202"/>
      <c r="BC51" s="200"/>
      <c r="BD51" s="228"/>
      <c r="BE51" s="192"/>
      <c r="BF51" s="227"/>
      <c r="BG51" s="194"/>
      <c r="BH51" s="159"/>
      <c r="BI51" s="159"/>
      <c r="BJ51" s="144"/>
      <c r="BK51" s="145"/>
      <c r="BL51" s="152"/>
      <c r="BM51" s="144"/>
      <c r="BN51" s="145"/>
      <c r="BO51" s="159"/>
      <c r="BP51" s="144"/>
      <c r="BQ51" s="145"/>
      <c r="BR51" s="152"/>
      <c r="BS51" s="23"/>
      <c r="BT51" s="3"/>
      <c r="BU51" s="202"/>
      <c r="BV51" s="200"/>
      <c r="BW51" s="228"/>
      <c r="BX51" s="192"/>
      <c r="BY51" s="227"/>
      <c r="BZ51" s="194"/>
      <c r="CA51" s="159"/>
      <c r="CB51" s="159"/>
      <c r="CC51" s="144"/>
      <c r="CD51" s="145"/>
      <c r="CE51" s="152"/>
      <c r="CF51" s="144"/>
      <c r="CG51" s="145"/>
      <c r="CH51" s="159"/>
      <c r="CI51" s="144"/>
      <c r="CJ51" s="145"/>
      <c r="CK51" s="152"/>
      <c r="CL51" s="23"/>
      <c r="CM51" s="3"/>
      <c r="CN51" s="202"/>
      <c r="CO51" s="200"/>
      <c r="CP51" s="228"/>
      <c r="CQ51" s="192"/>
      <c r="CR51" s="227"/>
      <c r="CS51" s="194"/>
      <c r="CT51" s="159"/>
      <c r="CU51" s="159"/>
      <c r="CV51" s="144"/>
      <c r="CW51" s="145"/>
      <c r="CX51" s="152"/>
      <c r="CY51" s="144"/>
      <c r="CZ51" s="145"/>
      <c r="DA51" s="159"/>
      <c r="DB51" s="144"/>
      <c r="DC51" s="145"/>
      <c r="DD51" s="152"/>
      <c r="DE51" s="23"/>
      <c r="DF51" s="3"/>
      <c r="DG51" s="202"/>
      <c r="DH51" s="200"/>
      <c r="DI51" s="228"/>
      <c r="DJ51" s="192"/>
      <c r="DK51" s="192"/>
      <c r="DL51" s="192"/>
      <c r="DM51" s="192"/>
      <c r="DN51" s="192"/>
      <c r="DO51" s="192"/>
      <c r="DP51" s="192"/>
      <c r="DQ51" s="192"/>
      <c r="DR51" s="192"/>
      <c r="DS51" s="208"/>
    </row>
    <row r="52" spans="1:123" ht="15.75" customHeight="1">
      <c r="A52" s="166"/>
      <c r="B52" s="257"/>
      <c r="C52" s="159"/>
      <c r="D52" s="159"/>
      <c r="E52" s="146"/>
      <c r="F52" s="147"/>
      <c r="G52" s="159"/>
      <c r="H52" s="146"/>
      <c r="I52" s="147"/>
      <c r="J52" s="159"/>
      <c r="K52" s="146"/>
      <c r="L52" s="147"/>
      <c r="M52" s="159"/>
      <c r="N52" s="19"/>
      <c r="O52" s="18"/>
      <c r="P52" s="248"/>
      <c r="Q52" s="258"/>
      <c r="R52" s="229"/>
      <c r="S52" s="10"/>
      <c r="T52" s="166"/>
      <c r="U52" s="180"/>
      <c r="V52" s="159"/>
      <c r="W52" s="159"/>
      <c r="X52" s="146"/>
      <c r="Y52" s="147"/>
      <c r="Z52" s="152"/>
      <c r="AA52" s="146"/>
      <c r="AB52" s="147"/>
      <c r="AC52" s="159"/>
      <c r="AD52" s="146"/>
      <c r="AE52" s="147"/>
      <c r="AF52" s="152"/>
      <c r="AG52" s="5"/>
      <c r="AH52" s="4"/>
      <c r="AI52" s="202"/>
      <c r="AJ52" s="198"/>
      <c r="AK52" s="229"/>
      <c r="AL52" s="192"/>
      <c r="AM52" s="166"/>
      <c r="AN52" s="180"/>
      <c r="AO52" s="159"/>
      <c r="AP52" s="159"/>
      <c r="AQ52" s="146"/>
      <c r="AR52" s="147"/>
      <c r="AS52" s="152"/>
      <c r="AT52" s="146"/>
      <c r="AU52" s="147"/>
      <c r="AV52" s="159"/>
      <c r="AW52" s="146"/>
      <c r="AX52" s="147"/>
      <c r="AY52" s="152"/>
      <c r="AZ52" s="5"/>
      <c r="BA52" s="4"/>
      <c r="BB52" s="202"/>
      <c r="BC52" s="198"/>
      <c r="BD52" s="229"/>
      <c r="BE52" s="192"/>
      <c r="BF52" s="166"/>
      <c r="BG52" s="180"/>
      <c r="BH52" s="159"/>
      <c r="BI52" s="159"/>
      <c r="BJ52" s="146"/>
      <c r="BK52" s="147"/>
      <c r="BL52" s="152"/>
      <c r="BM52" s="146"/>
      <c r="BN52" s="147"/>
      <c r="BO52" s="159"/>
      <c r="BP52" s="146"/>
      <c r="BQ52" s="147"/>
      <c r="BR52" s="152"/>
      <c r="BS52" s="5"/>
      <c r="BT52" s="4"/>
      <c r="BU52" s="202"/>
      <c r="BV52" s="198"/>
      <c r="BW52" s="229"/>
      <c r="BX52" s="192"/>
      <c r="BY52" s="166"/>
      <c r="BZ52" s="180"/>
      <c r="CA52" s="159"/>
      <c r="CB52" s="159"/>
      <c r="CC52" s="146"/>
      <c r="CD52" s="147"/>
      <c r="CE52" s="152"/>
      <c r="CF52" s="146"/>
      <c r="CG52" s="147"/>
      <c r="CH52" s="159"/>
      <c r="CI52" s="146"/>
      <c r="CJ52" s="147"/>
      <c r="CK52" s="152"/>
      <c r="CL52" s="5"/>
      <c r="CM52" s="4"/>
      <c r="CN52" s="202"/>
      <c r="CO52" s="198"/>
      <c r="CP52" s="229"/>
      <c r="CQ52" s="192"/>
      <c r="CR52" s="166"/>
      <c r="CS52" s="180"/>
      <c r="CT52" s="159"/>
      <c r="CU52" s="159"/>
      <c r="CV52" s="146"/>
      <c r="CW52" s="147"/>
      <c r="CX52" s="152"/>
      <c r="CY52" s="146"/>
      <c r="CZ52" s="147"/>
      <c r="DA52" s="159"/>
      <c r="DB52" s="146"/>
      <c r="DC52" s="147"/>
      <c r="DD52" s="152"/>
      <c r="DE52" s="5"/>
      <c r="DF52" s="4"/>
      <c r="DG52" s="202"/>
      <c r="DH52" s="198"/>
      <c r="DI52" s="229"/>
      <c r="DJ52" s="192"/>
      <c r="DK52" s="192"/>
      <c r="DL52" s="192"/>
      <c r="DM52" s="192"/>
      <c r="DN52" s="192"/>
      <c r="DO52" s="192"/>
      <c r="DP52" s="192"/>
      <c r="DQ52" s="192"/>
      <c r="DR52" s="192"/>
      <c r="DS52" s="208"/>
    </row>
    <row r="53" spans="1:123" ht="15.75" customHeight="1">
      <c r="A53" s="166"/>
      <c r="B53" s="257"/>
      <c r="C53" s="159"/>
      <c r="D53" s="159"/>
      <c r="E53" s="146"/>
      <c r="F53" s="147"/>
      <c r="G53" s="159"/>
      <c r="H53" s="146"/>
      <c r="I53" s="147"/>
      <c r="J53" s="159"/>
      <c r="K53" s="146"/>
      <c r="L53" s="147"/>
      <c r="M53" s="159"/>
      <c r="N53" s="19"/>
      <c r="O53" s="18"/>
      <c r="P53" s="248"/>
      <c r="Q53" s="258"/>
      <c r="R53" s="229"/>
      <c r="S53" s="10"/>
      <c r="T53" s="166"/>
      <c r="U53" s="180"/>
      <c r="V53" s="159"/>
      <c r="W53" s="159"/>
      <c r="X53" s="146"/>
      <c r="Y53" s="147"/>
      <c r="Z53" s="152"/>
      <c r="AA53" s="146"/>
      <c r="AB53" s="147"/>
      <c r="AC53" s="159"/>
      <c r="AD53" s="146"/>
      <c r="AE53" s="147"/>
      <c r="AF53" s="152"/>
      <c r="AG53" s="5"/>
      <c r="AH53" s="4"/>
      <c r="AI53" s="202"/>
      <c r="AJ53" s="198"/>
      <c r="AK53" s="229"/>
      <c r="AL53" s="192"/>
      <c r="AM53" s="166"/>
      <c r="AN53" s="180"/>
      <c r="AO53" s="159"/>
      <c r="AP53" s="159"/>
      <c r="AQ53" s="146"/>
      <c r="AR53" s="147"/>
      <c r="AS53" s="152"/>
      <c r="AT53" s="146"/>
      <c r="AU53" s="147"/>
      <c r="AV53" s="159"/>
      <c r="AW53" s="146"/>
      <c r="AX53" s="147"/>
      <c r="AY53" s="152"/>
      <c r="AZ53" s="5"/>
      <c r="BA53" s="4"/>
      <c r="BB53" s="202"/>
      <c r="BC53" s="198"/>
      <c r="BD53" s="229"/>
      <c r="BE53" s="192"/>
      <c r="BF53" s="166"/>
      <c r="BG53" s="180"/>
      <c r="BH53" s="159"/>
      <c r="BI53" s="159"/>
      <c r="BJ53" s="146"/>
      <c r="BK53" s="147"/>
      <c r="BL53" s="152"/>
      <c r="BM53" s="146"/>
      <c r="BN53" s="147"/>
      <c r="BO53" s="159"/>
      <c r="BP53" s="146"/>
      <c r="BQ53" s="147"/>
      <c r="BR53" s="152"/>
      <c r="BS53" s="5"/>
      <c r="BT53" s="4"/>
      <c r="BU53" s="202"/>
      <c r="BV53" s="198"/>
      <c r="BW53" s="229"/>
      <c r="BX53" s="192"/>
      <c r="BY53" s="166"/>
      <c r="BZ53" s="180"/>
      <c r="CA53" s="159"/>
      <c r="CB53" s="159"/>
      <c r="CC53" s="146"/>
      <c r="CD53" s="147"/>
      <c r="CE53" s="152"/>
      <c r="CF53" s="146"/>
      <c r="CG53" s="147"/>
      <c r="CH53" s="159"/>
      <c r="CI53" s="146"/>
      <c r="CJ53" s="147"/>
      <c r="CK53" s="152"/>
      <c r="CL53" s="5"/>
      <c r="CM53" s="4"/>
      <c r="CN53" s="202"/>
      <c r="CO53" s="198"/>
      <c r="CP53" s="229"/>
      <c r="CQ53" s="192"/>
      <c r="CR53" s="166"/>
      <c r="CS53" s="180"/>
      <c r="CT53" s="159"/>
      <c r="CU53" s="159"/>
      <c r="CV53" s="146"/>
      <c r="CW53" s="147"/>
      <c r="CX53" s="152"/>
      <c r="CY53" s="146"/>
      <c r="CZ53" s="147"/>
      <c r="DA53" s="159"/>
      <c r="DB53" s="146"/>
      <c r="DC53" s="147"/>
      <c r="DD53" s="152"/>
      <c r="DE53" s="5"/>
      <c r="DF53" s="4"/>
      <c r="DG53" s="202"/>
      <c r="DH53" s="198"/>
      <c r="DI53" s="229"/>
      <c r="DJ53" s="192"/>
      <c r="DK53" s="192"/>
      <c r="DL53" s="192"/>
      <c r="DM53" s="192"/>
      <c r="DN53" s="192"/>
      <c r="DO53" s="192"/>
      <c r="DP53" s="192"/>
      <c r="DQ53" s="192"/>
      <c r="DR53" s="192"/>
      <c r="DS53" s="208"/>
    </row>
    <row r="54" spans="1:123" ht="15.75" customHeight="1">
      <c r="A54" s="166"/>
      <c r="B54" s="257"/>
      <c r="C54" s="159"/>
      <c r="D54" s="159"/>
      <c r="E54" s="146"/>
      <c r="F54" s="147"/>
      <c r="G54" s="159"/>
      <c r="H54" s="146"/>
      <c r="I54" s="147"/>
      <c r="J54" s="159"/>
      <c r="K54" s="146"/>
      <c r="L54" s="147"/>
      <c r="M54" s="159"/>
      <c r="N54" s="19"/>
      <c r="O54" s="18"/>
      <c r="P54" s="248"/>
      <c r="Q54" s="258"/>
      <c r="R54" s="229"/>
      <c r="S54" s="10"/>
      <c r="T54" s="166"/>
      <c r="U54" s="180"/>
      <c r="V54" s="159"/>
      <c r="W54" s="159"/>
      <c r="X54" s="146"/>
      <c r="Y54" s="147"/>
      <c r="Z54" s="152"/>
      <c r="AA54" s="146"/>
      <c r="AB54" s="147"/>
      <c r="AC54" s="159"/>
      <c r="AD54" s="146"/>
      <c r="AE54" s="147"/>
      <c r="AF54" s="152"/>
      <c r="AG54" s="5"/>
      <c r="AH54" s="4"/>
      <c r="AI54" s="202"/>
      <c r="AJ54" s="198"/>
      <c r="AK54" s="229"/>
      <c r="AL54" s="192"/>
      <c r="AM54" s="166"/>
      <c r="AN54" s="180"/>
      <c r="AO54" s="159"/>
      <c r="AP54" s="159"/>
      <c r="AQ54" s="146"/>
      <c r="AR54" s="147"/>
      <c r="AS54" s="152"/>
      <c r="AT54" s="146"/>
      <c r="AU54" s="147"/>
      <c r="AV54" s="159"/>
      <c r="AW54" s="146"/>
      <c r="AX54" s="147"/>
      <c r="AY54" s="152"/>
      <c r="AZ54" s="5"/>
      <c r="BA54" s="4"/>
      <c r="BB54" s="202"/>
      <c r="BC54" s="198"/>
      <c r="BD54" s="229"/>
      <c r="BE54" s="192"/>
      <c r="BF54" s="166"/>
      <c r="BG54" s="180"/>
      <c r="BH54" s="159"/>
      <c r="BI54" s="159"/>
      <c r="BJ54" s="146"/>
      <c r="BK54" s="147"/>
      <c r="BL54" s="152"/>
      <c r="BM54" s="146"/>
      <c r="BN54" s="147"/>
      <c r="BO54" s="159"/>
      <c r="BP54" s="146"/>
      <c r="BQ54" s="147"/>
      <c r="BR54" s="152"/>
      <c r="BS54" s="5"/>
      <c r="BT54" s="4"/>
      <c r="BU54" s="202"/>
      <c r="BV54" s="198"/>
      <c r="BW54" s="229"/>
      <c r="BX54" s="192"/>
      <c r="BY54" s="166"/>
      <c r="BZ54" s="180"/>
      <c r="CA54" s="159"/>
      <c r="CB54" s="159"/>
      <c r="CC54" s="146"/>
      <c r="CD54" s="147"/>
      <c r="CE54" s="152"/>
      <c r="CF54" s="146"/>
      <c r="CG54" s="147"/>
      <c r="CH54" s="159"/>
      <c r="CI54" s="146"/>
      <c r="CJ54" s="147"/>
      <c r="CK54" s="152"/>
      <c r="CL54" s="5"/>
      <c r="CM54" s="4"/>
      <c r="CN54" s="202"/>
      <c r="CO54" s="198"/>
      <c r="CP54" s="229"/>
      <c r="CQ54" s="192"/>
      <c r="CR54" s="166"/>
      <c r="CS54" s="180"/>
      <c r="CT54" s="159"/>
      <c r="CU54" s="159"/>
      <c r="CV54" s="146"/>
      <c r="CW54" s="147"/>
      <c r="CX54" s="152"/>
      <c r="CY54" s="146"/>
      <c r="CZ54" s="147"/>
      <c r="DA54" s="159"/>
      <c r="DB54" s="146"/>
      <c r="DC54" s="147"/>
      <c r="DD54" s="152"/>
      <c r="DE54" s="5"/>
      <c r="DF54" s="4"/>
      <c r="DG54" s="202"/>
      <c r="DH54" s="198"/>
      <c r="DI54" s="229"/>
      <c r="DJ54" s="192"/>
      <c r="DK54" s="192"/>
      <c r="DL54" s="192"/>
      <c r="DM54" s="192"/>
      <c r="DN54" s="192"/>
      <c r="DO54" s="192"/>
      <c r="DP54" s="192"/>
      <c r="DQ54" s="192"/>
      <c r="DR54" s="192"/>
      <c r="DS54" s="208"/>
    </row>
    <row r="55" spans="1:123" ht="15.75" customHeight="1" thickBot="1">
      <c r="A55" s="230"/>
      <c r="B55" s="261"/>
      <c r="C55" s="159"/>
      <c r="D55" s="159"/>
      <c r="E55" s="262"/>
      <c r="F55" s="264"/>
      <c r="G55" s="159"/>
      <c r="H55" s="262"/>
      <c r="I55" s="263"/>
      <c r="J55" s="159"/>
      <c r="K55" s="262"/>
      <c r="L55" s="264"/>
      <c r="M55" s="159"/>
      <c r="N55" s="16"/>
      <c r="O55" s="15"/>
      <c r="P55" s="248"/>
      <c r="Q55" s="265"/>
      <c r="R55" s="231"/>
      <c r="S55" s="10"/>
      <c r="T55" s="230"/>
      <c r="U55" s="181"/>
      <c r="V55" s="159"/>
      <c r="W55" s="159"/>
      <c r="X55" s="148"/>
      <c r="Y55" s="149"/>
      <c r="Z55" s="152"/>
      <c r="AA55" s="148"/>
      <c r="AB55" s="196"/>
      <c r="AC55" s="159"/>
      <c r="AD55" s="148"/>
      <c r="AE55" s="149"/>
      <c r="AF55" s="152"/>
      <c r="AG55" s="20"/>
      <c r="AH55" s="2"/>
      <c r="AI55" s="202"/>
      <c r="AJ55" s="199"/>
      <c r="AK55" s="231"/>
      <c r="AL55" s="192"/>
      <c r="AM55" s="230"/>
      <c r="AN55" s="181"/>
      <c r="AO55" s="159"/>
      <c r="AP55" s="159"/>
      <c r="AQ55" s="148"/>
      <c r="AR55" s="149"/>
      <c r="AS55" s="152"/>
      <c r="AT55" s="148"/>
      <c r="AU55" s="196"/>
      <c r="AV55" s="159"/>
      <c r="AW55" s="148"/>
      <c r="AX55" s="149"/>
      <c r="AY55" s="152"/>
      <c r="AZ55" s="20"/>
      <c r="BA55" s="2"/>
      <c r="BB55" s="202"/>
      <c r="BC55" s="199"/>
      <c r="BD55" s="231"/>
      <c r="BE55" s="192"/>
      <c r="BF55" s="230"/>
      <c r="BG55" s="181"/>
      <c r="BH55" s="159"/>
      <c r="BI55" s="159"/>
      <c r="BJ55" s="148"/>
      <c r="BK55" s="149"/>
      <c r="BL55" s="152"/>
      <c r="BM55" s="148"/>
      <c r="BN55" s="196"/>
      <c r="BO55" s="159"/>
      <c r="BP55" s="148"/>
      <c r="BQ55" s="149"/>
      <c r="BR55" s="152"/>
      <c r="BS55" s="20"/>
      <c r="BT55" s="2"/>
      <c r="BU55" s="202"/>
      <c r="BV55" s="199"/>
      <c r="BW55" s="231"/>
      <c r="BX55" s="192"/>
      <c r="BY55" s="230"/>
      <c r="BZ55" s="181"/>
      <c r="CA55" s="159"/>
      <c r="CB55" s="159"/>
      <c r="CC55" s="148"/>
      <c r="CD55" s="149"/>
      <c r="CE55" s="152"/>
      <c r="CF55" s="148"/>
      <c r="CG55" s="196"/>
      <c r="CH55" s="159"/>
      <c r="CI55" s="148"/>
      <c r="CJ55" s="149"/>
      <c r="CK55" s="152"/>
      <c r="CL55" s="20"/>
      <c r="CM55" s="2"/>
      <c r="CN55" s="202"/>
      <c r="CO55" s="199"/>
      <c r="CP55" s="231"/>
      <c r="CQ55" s="192"/>
      <c r="CR55" s="230"/>
      <c r="CS55" s="181"/>
      <c r="CT55" s="159"/>
      <c r="CU55" s="159"/>
      <c r="CV55" s="148"/>
      <c r="CW55" s="149"/>
      <c r="CX55" s="152"/>
      <c r="CY55" s="148"/>
      <c r="CZ55" s="196"/>
      <c r="DA55" s="159"/>
      <c r="DB55" s="148"/>
      <c r="DC55" s="149"/>
      <c r="DD55" s="152"/>
      <c r="DE55" s="20"/>
      <c r="DF55" s="2"/>
      <c r="DG55" s="202"/>
      <c r="DH55" s="199"/>
      <c r="DI55" s="231"/>
      <c r="DJ55" s="192"/>
      <c r="DK55" s="192"/>
      <c r="DL55" s="192"/>
      <c r="DM55" s="192"/>
      <c r="DN55" s="192"/>
      <c r="DO55" s="192"/>
      <c r="DP55" s="192"/>
      <c r="DQ55" s="192"/>
      <c r="DR55" s="192"/>
      <c r="DS55" s="208"/>
    </row>
    <row r="56" spans="1:123" ht="15.75" customHeight="1" thickBot="1">
      <c r="A56" s="232"/>
      <c r="B56" s="270"/>
      <c r="C56" s="159"/>
      <c r="D56" s="159"/>
      <c r="E56" s="146"/>
      <c r="F56" s="147"/>
      <c r="G56" s="159"/>
      <c r="H56" s="146"/>
      <c r="I56" s="147"/>
      <c r="J56" s="159"/>
      <c r="K56" s="146"/>
      <c r="L56" s="147"/>
      <c r="M56" s="159"/>
      <c r="N56" s="159"/>
      <c r="O56" s="21"/>
      <c r="P56" s="248"/>
      <c r="Q56" s="248"/>
      <c r="R56" s="233"/>
      <c r="S56" s="10"/>
      <c r="T56" s="232"/>
      <c r="U56" s="183"/>
      <c r="V56" s="159"/>
      <c r="W56" s="159"/>
      <c r="X56" s="146"/>
      <c r="Y56" s="147"/>
      <c r="Z56" s="152"/>
      <c r="AA56" s="146"/>
      <c r="AB56" s="147"/>
      <c r="AC56" s="159"/>
      <c r="AD56" s="146"/>
      <c r="AE56" s="147"/>
      <c r="AF56" s="152"/>
      <c r="AG56" s="152"/>
      <c r="AH56" s="17"/>
      <c r="AI56" s="202"/>
      <c r="AJ56" s="202"/>
      <c r="AK56" s="233"/>
      <c r="AL56" s="192"/>
      <c r="AM56" s="232"/>
      <c r="AN56" s="183"/>
      <c r="AO56" s="159"/>
      <c r="AP56" s="159"/>
      <c r="AQ56" s="146"/>
      <c r="AR56" s="147"/>
      <c r="AS56" s="152"/>
      <c r="AT56" s="146"/>
      <c r="AU56" s="147"/>
      <c r="AV56" s="159"/>
      <c r="AW56" s="146"/>
      <c r="AX56" s="147"/>
      <c r="AY56" s="152"/>
      <c r="AZ56" s="152"/>
      <c r="BA56" s="17"/>
      <c r="BB56" s="202"/>
      <c r="BC56" s="202"/>
      <c r="BD56" s="233"/>
      <c r="BE56" s="192"/>
      <c r="BF56" s="232"/>
      <c r="BG56" s="183"/>
      <c r="BH56" s="159"/>
      <c r="BI56" s="159"/>
      <c r="BJ56" s="146"/>
      <c r="BK56" s="147"/>
      <c r="BL56" s="152"/>
      <c r="BM56" s="146"/>
      <c r="BN56" s="147"/>
      <c r="BO56" s="159"/>
      <c r="BP56" s="146"/>
      <c r="BQ56" s="147"/>
      <c r="BR56" s="152"/>
      <c r="BS56" s="152"/>
      <c r="BT56" s="17"/>
      <c r="BU56" s="202"/>
      <c r="BV56" s="202"/>
      <c r="BW56" s="233"/>
      <c r="BX56" s="192"/>
      <c r="BY56" s="232"/>
      <c r="BZ56" s="183"/>
      <c r="CA56" s="159"/>
      <c r="CB56" s="159"/>
      <c r="CC56" s="146"/>
      <c r="CD56" s="147"/>
      <c r="CE56" s="152"/>
      <c r="CF56" s="146"/>
      <c r="CG56" s="147"/>
      <c r="CH56" s="159"/>
      <c r="CI56" s="146"/>
      <c r="CJ56" s="147"/>
      <c r="CK56" s="152"/>
      <c r="CL56" s="152"/>
      <c r="CM56" s="17"/>
      <c r="CN56" s="202"/>
      <c r="CO56" s="202"/>
      <c r="CP56" s="233"/>
      <c r="CQ56" s="192"/>
      <c r="CR56" s="232"/>
      <c r="CS56" s="183"/>
      <c r="CT56" s="159"/>
      <c r="CU56" s="159"/>
      <c r="CV56" s="146"/>
      <c r="CW56" s="147"/>
      <c r="CX56" s="152"/>
      <c r="CY56" s="146"/>
      <c r="CZ56" s="147"/>
      <c r="DA56" s="159"/>
      <c r="DB56" s="146"/>
      <c r="DC56" s="147"/>
      <c r="DD56" s="152"/>
      <c r="DE56" s="152"/>
      <c r="DF56" s="17"/>
      <c r="DG56" s="202"/>
      <c r="DH56" s="202"/>
      <c r="DI56" s="233"/>
      <c r="DJ56" s="192"/>
      <c r="DK56" s="192"/>
      <c r="DL56" s="192"/>
      <c r="DM56" s="192"/>
      <c r="DN56" s="192"/>
      <c r="DO56" s="192"/>
      <c r="DP56" s="192"/>
      <c r="DQ56" s="192"/>
      <c r="DR56" s="192"/>
      <c r="DS56" s="208"/>
    </row>
    <row r="57" spans="1:123" ht="15.75" customHeight="1" thickBot="1">
      <c r="A57" s="272"/>
      <c r="B57" s="273"/>
      <c r="C57" s="159"/>
      <c r="D57" s="159"/>
      <c r="E57" s="150"/>
      <c r="F57" s="151"/>
      <c r="G57" s="159"/>
      <c r="H57" s="150"/>
      <c r="I57" s="151"/>
      <c r="J57" s="159"/>
      <c r="K57" s="150"/>
      <c r="L57" s="151"/>
      <c r="M57" s="159"/>
      <c r="N57" s="159"/>
      <c r="O57" s="159"/>
      <c r="P57" s="248"/>
      <c r="Q57" s="248"/>
      <c r="R57" s="225"/>
      <c r="S57" s="10"/>
      <c r="T57" s="234"/>
      <c r="U57" s="203"/>
      <c r="V57" s="159"/>
      <c r="W57" s="159"/>
      <c r="X57" s="150"/>
      <c r="Y57" s="151"/>
      <c r="Z57" s="152"/>
      <c r="AA57" s="150"/>
      <c r="AB57" s="151"/>
      <c r="AC57" s="159"/>
      <c r="AD57" s="150"/>
      <c r="AE57" s="151"/>
      <c r="AF57" s="152"/>
      <c r="AG57" s="152"/>
      <c r="AH57" s="152"/>
      <c r="AI57" s="202"/>
      <c r="AJ57" s="202"/>
      <c r="AK57" s="225"/>
      <c r="AL57" s="192"/>
      <c r="AM57" s="234"/>
      <c r="AN57" s="203"/>
      <c r="AO57" s="159"/>
      <c r="AP57" s="159"/>
      <c r="AQ57" s="150"/>
      <c r="AR57" s="151"/>
      <c r="AS57" s="152"/>
      <c r="AT57" s="150"/>
      <c r="AU57" s="151"/>
      <c r="AV57" s="159"/>
      <c r="AW57" s="150"/>
      <c r="AX57" s="151"/>
      <c r="AY57" s="152"/>
      <c r="AZ57" s="152"/>
      <c r="BA57" s="152"/>
      <c r="BB57" s="202"/>
      <c r="BC57" s="202"/>
      <c r="BD57" s="225"/>
      <c r="BE57" s="192"/>
      <c r="BF57" s="234"/>
      <c r="BG57" s="203"/>
      <c r="BH57" s="159"/>
      <c r="BI57" s="159"/>
      <c r="BJ57" s="150"/>
      <c r="BK57" s="151"/>
      <c r="BL57" s="152"/>
      <c r="BM57" s="150"/>
      <c r="BN57" s="151"/>
      <c r="BO57" s="159"/>
      <c r="BP57" s="150"/>
      <c r="BQ57" s="151"/>
      <c r="BR57" s="152"/>
      <c r="BS57" s="152"/>
      <c r="BT57" s="152"/>
      <c r="BU57" s="202"/>
      <c r="BV57" s="202"/>
      <c r="BW57" s="225"/>
      <c r="BX57" s="192"/>
      <c r="BY57" s="234"/>
      <c r="BZ57" s="203"/>
      <c r="CA57" s="159"/>
      <c r="CB57" s="159"/>
      <c r="CC57" s="150"/>
      <c r="CD57" s="151"/>
      <c r="CE57" s="152"/>
      <c r="CF57" s="150"/>
      <c r="CG57" s="151"/>
      <c r="CH57" s="159"/>
      <c r="CI57" s="150"/>
      <c r="CJ57" s="151"/>
      <c r="CK57" s="152"/>
      <c r="CL57" s="152"/>
      <c r="CM57" s="152"/>
      <c r="CN57" s="202"/>
      <c r="CO57" s="202"/>
      <c r="CP57" s="225"/>
      <c r="CQ57" s="192"/>
      <c r="CR57" s="234"/>
      <c r="CS57" s="203"/>
      <c r="CT57" s="159"/>
      <c r="CU57" s="159"/>
      <c r="CV57" s="150"/>
      <c r="CW57" s="151"/>
      <c r="CX57" s="152"/>
      <c r="CY57" s="150"/>
      <c r="CZ57" s="151"/>
      <c r="DA57" s="159"/>
      <c r="DB57" s="150"/>
      <c r="DC57" s="151"/>
      <c r="DD57" s="152"/>
      <c r="DE57" s="152"/>
      <c r="DF57" s="152"/>
      <c r="DG57" s="202"/>
      <c r="DH57" s="202"/>
      <c r="DI57" s="225"/>
      <c r="DJ57" s="192"/>
      <c r="DK57" s="192"/>
      <c r="DL57" s="192"/>
      <c r="DM57" s="192"/>
      <c r="DN57" s="192"/>
      <c r="DO57" s="192"/>
      <c r="DP57" s="192"/>
      <c r="DQ57" s="192"/>
      <c r="DR57" s="192"/>
      <c r="DS57" s="208"/>
    </row>
    <row r="58" spans="1:123" ht="15.75" customHeight="1" thickBot="1">
      <c r="A58" s="272"/>
      <c r="B58" s="273"/>
      <c r="C58" s="159"/>
      <c r="D58" s="159"/>
      <c r="E58" s="165"/>
      <c r="F58" s="21"/>
      <c r="G58" s="159"/>
      <c r="H58" s="165"/>
      <c r="I58" s="21"/>
      <c r="J58" s="159"/>
      <c r="K58" s="165"/>
      <c r="L58" s="21"/>
      <c r="M58" s="159"/>
      <c r="N58" s="159"/>
      <c r="O58" s="159"/>
      <c r="P58" s="248"/>
      <c r="Q58" s="248"/>
      <c r="R58" s="225"/>
      <c r="S58" s="10"/>
      <c r="T58" s="234"/>
      <c r="U58" s="203"/>
      <c r="V58" s="159"/>
      <c r="W58" s="159"/>
      <c r="X58" s="165"/>
      <c r="Y58" s="21"/>
      <c r="Z58" s="152"/>
      <c r="AA58" s="165"/>
      <c r="AB58" s="21"/>
      <c r="AC58" s="152"/>
      <c r="AD58" s="165"/>
      <c r="AE58" s="21"/>
      <c r="AF58" s="152"/>
      <c r="AG58" s="152"/>
      <c r="AH58" s="152"/>
      <c r="AI58" s="202"/>
      <c r="AJ58" s="202"/>
      <c r="AK58" s="225"/>
      <c r="AL58" s="192"/>
      <c r="AM58" s="234"/>
      <c r="AN58" s="203"/>
      <c r="AO58" s="159"/>
      <c r="AP58" s="159"/>
      <c r="AQ58" s="165"/>
      <c r="AR58" s="21"/>
      <c r="AS58" s="152"/>
      <c r="AT58" s="165"/>
      <c r="AU58" s="21"/>
      <c r="AV58" s="152"/>
      <c r="AW58" s="165"/>
      <c r="AX58" s="21"/>
      <c r="AY58" s="152"/>
      <c r="AZ58" s="152"/>
      <c r="BA58" s="152"/>
      <c r="BB58" s="202"/>
      <c r="BC58" s="202"/>
      <c r="BD58" s="225"/>
      <c r="BE58" s="192"/>
      <c r="BF58" s="234"/>
      <c r="BG58" s="203"/>
      <c r="BH58" s="159"/>
      <c r="BI58" s="159"/>
      <c r="BJ58" s="165"/>
      <c r="BK58" s="21"/>
      <c r="BL58" s="152"/>
      <c r="BM58" s="165"/>
      <c r="BN58" s="21"/>
      <c r="BO58" s="152"/>
      <c r="BP58" s="165"/>
      <c r="BQ58" s="21"/>
      <c r="BR58" s="152"/>
      <c r="BS58" s="152"/>
      <c r="BT58" s="152"/>
      <c r="BU58" s="202"/>
      <c r="BV58" s="202"/>
      <c r="BW58" s="225"/>
      <c r="BX58" s="192"/>
      <c r="BY58" s="234"/>
      <c r="BZ58" s="203"/>
      <c r="CA58" s="159"/>
      <c r="CB58" s="159"/>
      <c r="CC58" s="165"/>
      <c r="CD58" s="21"/>
      <c r="CE58" s="152"/>
      <c r="CF58" s="165"/>
      <c r="CG58" s="21"/>
      <c r="CH58" s="152"/>
      <c r="CI58" s="165"/>
      <c r="CJ58" s="21"/>
      <c r="CK58" s="152"/>
      <c r="CL58" s="152"/>
      <c r="CM58" s="152"/>
      <c r="CN58" s="202"/>
      <c r="CO58" s="202"/>
      <c r="CP58" s="225"/>
      <c r="CQ58" s="192"/>
      <c r="CR58" s="234"/>
      <c r="CS58" s="203"/>
      <c r="CT58" s="159"/>
      <c r="CU58" s="159"/>
      <c r="CV58" s="165"/>
      <c r="CW58" s="21"/>
      <c r="CX58" s="152"/>
      <c r="CY58" s="165"/>
      <c r="CZ58" s="21"/>
      <c r="DA58" s="152"/>
      <c r="DB58" s="165"/>
      <c r="DC58" s="21"/>
      <c r="DD58" s="152"/>
      <c r="DE58" s="152"/>
      <c r="DF58" s="152"/>
      <c r="DG58" s="202"/>
      <c r="DH58" s="202"/>
      <c r="DI58" s="225"/>
      <c r="DJ58" s="192"/>
      <c r="DK58" s="192"/>
      <c r="DL58" s="192"/>
      <c r="DM58" s="192"/>
      <c r="DN58" s="192"/>
      <c r="DO58" s="192"/>
      <c r="DP58" s="192"/>
      <c r="DQ58" s="192"/>
      <c r="DR58" s="192"/>
      <c r="DS58" s="208"/>
    </row>
    <row r="59" spans="1:123" ht="15.75" customHeight="1" thickBot="1">
      <c r="A59" s="235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248"/>
      <c r="Q59" s="248"/>
      <c r="R59" s="225"/>
      <c r="S59" s="10"/>
      <c r="T59" s="235"/>
      <c r="U59" s="159"/>
      <c r="V59" s="159"/>
      <c r="W59" s="159"/>
      <c r="X59" s="159"/>
      <c r="Y59" s="159"/>
      <c r="Z59" s="152"/>
      <c r="AA59" s="152"/>
      <c r="AB59" s="152"/>
      <c r="AC59" s="152"/>
      <c r="AD59" s="152"/>
      <c r="AE59" s="152"/>
      <c r="AF59" s="152"/>
      <c r="AG59" s="152"/>
      <c r="AH59" s="152"/>
      <c r="AI59" s="202"/>
      <c r="AJ59" s="202"/>
      <c r="AK59" s="225"/>
      <c r="AL59" s="192"/>
      <c r="AM59" s="235"/>
      <c r="AN59" s="159"/>
      <c r="AO59" s="159"/>
      <c r="AP59" s="159"/>
      <c r="AQ59" s="159"/>
      <c r="AR59" s="159"/>
      <c r="AS59" s="152"/>
      <c r="AT59" s="152"/>
      <c r="AU59" s="152"/>
      <c r="AV59" s="152"/>
      <c r="AW59" s="152"/>
      <c r="AX59" s="152"/>
      <c r="AY59" s="152"/>
      <c r="AZ59" s="152"/>
      <c r="BA59" s="152"/>
      <c r="BB59" s="202"/>
      <c r="BC59" s="202"/>
      <c r="BD59" s="225"/>
      <c r="BE59" s="192"/>
      <c r="BF59" s="235"/>
      <c r="BG59" s="159"/>
      <c r="BH59" s="159"/>
      <c r="BI59" s="159"/>
      <c r="BJ59" s="159"/>
      <c r="BK59" s="159"/>
      <c r="BL59" s="152"/>
      <c r="BM59" s="152"/>
      <c r="BN59" s="152"/>
      <c r="BO59" s="152"/>
      <c r="BP59" s="152"/>
      <c r="BQ59" s="152"/>
      <c r="BR59" s="152"/>
      <c r="BS59" s="152"/>
      <c r="BT59" s="152"/>
      <c r="BU59" s="202"/>
      <c r="BV59" s="202"/>
      <c r="BW59" s="225"/>
      <c r="BX59" s="192"/>
      <c r="BY59" s="235"/>
      <c r="BZ59" s="159"/>
      <c r="CA59" s="159"/>
      <c r="CB59" s="159"/>
      <c r="CC59" s="159"/>
      <c r="CD59" s="159"/>
      <c r="CE59" s="152"/>
      <c r="CF59" s="152"/>
      <c r="CG59" s="152"/>
      <c r="CH59" s="152"/>
      <c r="CI59" s="152"/>
      <c r="CJ59" s="152"/>
      <c r="CK59" s="152"/>
      <c r="CL59" s="152"/>
      <c r="CM59" s="152"/>
      <c r="CN59" s="202"/>
      <c r="CO59" s="202"/>
      <c r="CP59" s="225"/>
      <c r="CQ59" s="192"/>
      <c r="CR59" s="235"/>
      <c r="CS59" s="159"/>
      <c r="CT59" s="159"/>
      <c r="CU59" s="159"/>
      <c r="CV59" s="159"/>
      <c r="CW59" s="159"/>
      <c r="CX59" s="152"/>
      <c r="CY59" s="152"/>
      <c r="CZ59" s="152"/>
      <c r="DA59" s="152"/>
      <c r="DB59" s="152"/>
      <c r="DC59" s="152"/>
      <c r="DD59" s="152"/>
      <c r="DE59" s="152"/>
      <c r="DF59" s="152"/>
      <c r="DG59" s="202"/>
      <c r="DH59" s="202"/>
      <c r="DI59" s="225"/>
      <c r="DJ59" s="192"/>
      <c r="DK59" s="192"/>
      <c r="DL59" s="192"/>
      <c r="DM59" s="192"/>
      <c r="DN59" s="192"/>
      <c r="DO59" s="192"/>
      <c r="DP59" s="192"/>
      <c r="DQ59" s="192"/>
      <c r="DR59" s="192"/>
      <c r="DS59" s="208"/>
    </row>
    <row r="60" spans="1:123" ht="15.75" customHeight="1" thickBot="1">
      <c r="A60" s="227"/>
      <c r="B60" s="275"/>
      <c r="C60" s="159"/>
      <c r="D60" s="34"/>
      <c r="E60" s="33"/>
      <c r="F60" s="451"/>
      <c r="G60" s="460"/>
      <c r="H60" s="33"/>
      <c r="I60" s="33"/>
      <c r="J60" s="33"/>
      <c r="K60" s="33"/>
      <c r="L60" s="33"/>
      <c r="M60" s="276"/>
      <c r="N60" s="159"/>
      <c r="O60" s="159"/>
      <c r="P60" s="248"/>
      <c r="Q60" s="248"/>
      <c r="R60" s="225"/>
      <c r="S60" s="10"/>
      <c r="T60" s="227"/>
      <c r="U60" s="182"/>
      <c r="V60" s="159"/>
      <c r="W60" s="34"/>
      <c r="X60" s="33"/>
      <c r="Y60" s="451"/>
      <c r="Z60" s="452"/>
      <c r="AA60" s="32"/>
      <c r="AB60" s="32"/>
      <c r="AC60" s="32"/>
      <c r="AD60" s="32"/>
      <c r="AE60" s="32"/>
      <c r="AF60" s="31"/>
      <c r="AG60" s="152"/>
      <c r="AH60" s="152"/>
      <c r="AI60" s="202"/>
      <c r="AJ60" s="202"/>
      <c r="AK60" s="225"/>
      <c r="AL60" s="192"/>
      <c r="AM60" s="227"/>
      <c r="AN60" s="182"/>
      <c r="AO60" s="159"/>
      <c r="AP60" s="34"/>
      <c r="AQ60" s="33"/>
      <c r="AR60" s="451"/>
      <c r="AS60" s="452"/>
      <c r="AT60" s="32"/>
      <c r="AU60" s="32"/>
      <c r="AV60" s="32"/>
      <c r="AW60" s="32"/>
      <c r="AX60" s="32"/>
      <c r="AY60" s="31"/>
      <c r="AZ60" s="152"/>
      <c r="BA60" s="152"/>
      <c r="BB60" s="202"/>
      <c r="BC60" s="202"/>
      <c r="BD60" s="225"/>
      <c r="BE60" s="192"/>
      <c r="BF60" s="227"/>
      <c r="BG60" s="182"/>
      <c r="BH60" s="159"/>
      <c r="BI60" s="34"/>
      <c r="BJ60" s="33"/>
      <c r="BK60" s="451"/>
      <c r="BL60" s="452"/>
      <c r="BM60" s="32"/>
      <c r="BN60" s="32"/>
      <c r="BO60" s="32"/>
      <c r="BP60" s="32"/>
      <c r="BQ60" s="32"/>
      <c r="BR60" s="31"/>
      <c r="BS60" s="152"/>
      <c r="BT60" s="152"/>
      <c r="BU60" s="202"/>
      <c r="BV60" s="202"/>
      <c r="BW60" s="225"/>
      <c r="BX60" s="192"/>
      <c r="BY60" s="227"/>
      <c r="BZ60" s="182"/>
      <c r="CA60" s="159"/>
      <c r="CB60" s="34"/>
      <c r="CC60" s="33"/>
      <c r="CD60" s="451"/>
      <c r="CE60" s="452"/>
      <c r="CF60" s="32"/>
      <c r="CG60" s="32"/>
      <c r="CH60" s="32"/>
      <c r="CI60" s="32"/>
      <c r="CJ60" s="32"/>
      <c r="CK60" s="31"/>
      <c r="CL60" s="152"/>
      <c r="CM60" s="152"/>
      <c r="CN60" s="202"/>
      <c r="CO60" s="202"/>
      <c r="CP60" s="225"/>
      <c r="CQ60" s="192"/>
      <c r="CR60" s="227"/>
      <c r="CS60" s="182"/>
      <c r="CT60" s="159"/>
      <c r="CU60" s="34"/>
      <c r="CV60" s="33"/>
      <c r="CW60" s="451"/>
      <c r="CX60" s="452"/>
      <c r="CY60" s="32"/>
      <c r="CZ60" s="32"/>
      <c r="DA60" s="32"/>
      <c r="DB60" s="32"/>
      <c r="DC60" s="32"/>
      <c r="DD60" s="31"/>
      <c r="DE60" s="152"/>
      <c r="DF60" s="152"/>
      <c r="DG60" s="202"/>
      <c r="DH60" s="202"/>
      <c r="DI60" s="225"/>
      <c r="DJ60" s="192"/>
      <c r="DK60" s="192"/>
      <c r="DL60" s="192"/>
      <c r="DM60" s="192"/>
      <c r="DN60" s="192"/>
      <c r="DO60" s="192"/>
      <c r="DP60" s="192"/>
      <c r="DQ60" s="192"/>
      <c r="DR60" s="192"/>
      <c r="DS60" s="208"/>
    </row>
    <row r="61" spans="1:123" ht="15.75" customHeight="1" thickBot="1">
      <c r="A61" s="166"/>
      <c r="B61" s="257"/>
      <c r="C61" s="159"/>
      <c r="D61" s="14"/>
      <c r="E61" s="30"/>
      <c r="F61" s="159"/>
      <c r="G61" s="159"/>
      <c r="H61" s="30"/>
      <c r="I61" s="159"/>
      <c r="J61" s="159"/>
      <c r="K61" s="30"/>
      <c r="L61" s="159"/>
      <c r="M61" s="277"/>
      <c r="N61" s="159"/>
      <c r="O61" s="159"/>
      <c r="P61" s="248"/>
      <c r="Q61" s="248"/>
      <c r="R61" s="225"/>
      <c r="S61" s="10"/>
      <c r="T61" s="166"/>
      <c r="U61" s="180"/>
      <c r="V61" s="159"/>
      <c r="W61" s="14"/>
      <c r="X61" s="30"/>
      <c r="Y61" s="159"/>
      <c r="Z61" s="152"/>
      <c r="AA61" s="29"/>
      <c r="AB61" s="152"/>
      <c r="AC61" s="152"/>
      <c r="AD61" s="29"/>
      <c r="AE61" s="152"/>
      <c r="AF61" s="13"/>
      <c r="AG61" s="152"/>
      <c r="AH61" s="152"/>
      <c r="AI61" s="202"/>
      <c r="AJ61" s="202"/>
      <c r="AK61" s="225"/>
      <c r="AL61" s="192"/>
      <c r="AM61" s="166"/>
      <c r="AN61" s="180"/>
      <c r="AO61" s="159"/>
      <c r="AP61" s="14"/>
      <c r="AQ61" s="30"/>
      <c r="AR61" s="159"/>
      <c r="AS61" s="152"/>
      <c r="AT61" s="29"/>
      <c r="AU61" s="152"/>
      <c r="AV61" s="152"/>
      <c r="AW61" s="29"/>
      <c r="AX61" s="152"/>
      <c r="AY61" s="13"/>
      <c r="AZ61" s="152"/>
      <c r="BA61" s="152"/>
      <c r="BB61" s="202"/>
      <c r="BC61" s="202"/>
      <c r="BD61" s="225"/>
      <c r="BE61" s="192"/>
      <c r="BF61" s="166"/>
      <c r="BG61" s="180"/>
      <c r="BH61" s="159"/>
      <c r="BI61" s="14"/>
      <c r="BJ61" s="30"/>
      <c r="BK61" s="159"/>
      <c r="BL61" s="152"/>
      <c r="BM61" s="29"/>
      <c r="BN61" s="152"/>
      <c r="BO61" s="152"/>
      <c r="BP61" s="29"/>
      <c r="BQ61" s="152"/>
      <c r="BR61" s="13"/>
      <c r="BS61" s="152"/>
      <c r="BT61" s="152"/>
      <c r="BU61" s="202"/>
      <c r="BV61" s="202"/>
      <c r="BW61" s="225"/>
      <c r="BX61" s="192"/>
      <c r="BY61" s="166"/>
      <c r="BZ61" s="180"/>
      <c r="CA61" s="159"/>
      <c r="CB61" s="14"/>
      <c r="CC61" s="30"/>
      <c r="CD61" s="159"/>
      <c r="CE61" s="152"/>
      <c r="CF61" s="29"/>
      <c r="CG61" s="152"/>
      <c r="CH61" s="152"/>
      <c r="CI61" s="29"/>
      <c r="CJ61" s="152"/>
      <c r="CK61" s="13"/>
      <c r="CL61" s="152"/>
      <c r="CM61" s="152"/>
      <c r="CN61" s="202"/>
      <c r="CO61" s="202"/>
      <c r="CP61" s="225"/>
      <c r="CQ61" s="192"/>
      <c r="CR61" s="166"/>
      <c r="CS61" s="180"/>
      <c r="CT61" s="159"/>
      <c r="CU61" s="14"/>
      <c r="CV61" s="30"/>
      <c r="CW61" s="159"/>
      <c r="CX61" s="152"/>
      <c r="CY61" s="29"/>
      <c r="CZ61" s="152"/>
      <c r="DA61" s="152"/>
      <c r="DB61" s="29"/>
      <c r="DC61" s="152"/>
      <c r="DD61" s="13"/>
      <c r="DE61" s="152"/>
      <c r="DF61" s="152"/>
      <c r="DG61" s="202"/>
      <c r="DH61" s="202"/>
      <c r="DI61" s="225"/>
      <c r="DJ61" s="192"/>
      <c r="DK61" s="192"/>
      <c r="DL61" s="192"/>
      <c r="DM61" s="192"/>
      <c r="DN61" s="192"/>
      <c r="DO61" s="192"/>
      <c r="DP61" s="192"/>
      <c r="DQ61" s="192"/>
      <c r="DR61" s="192"/>
      <c r="DS61" s="208"/>
    </row>
    <row r="62" spans="1:123" ht="15.75" customHeight="1">
      <c r="A62" s="166"/>
      <c r="B62" s="257"/>
      <c r="C62" s="159"/>
      <c r="D62" s="14"/>
      <c r="E62" s="9"/>
      <c r="F62" s="7"/>
      <c r="G62" s="159"/>
      <c r="H62" s="253"/>
      <c r="I62" s="22"/>
      <c r="J62" s="159"/>
      <c r="K62" s="253"/>
      <c r="L62" s="22"/>
      <c r="M62" s="277"/>
      <c r="N62" s="159"/>
      <c r="O62" s="159"/>
      <c r="P62" s="248"/>
      <c r="Q62" s="248"/>
      <c r="R62" s="225"/>
      <c r="S62" s="10"/>
      <c r="T62" s="166"/>
      <c r="U62" s="180"/>
      <c r="V62" s="159"/>
      <c r="W62" s="14"/>
      <c r="X62" s="9"/>
      <c r="Y62" s="7"/>
      <c r="Z62" s="152"/>
      <c r="AA62" s="23"/>
      <c r="AB62" s="3"/>
      <c r="AC62" s="152"/>
      <c r="AD62" s="23"/>
      <c r="AE62" s="3"/>
      <c r="AF62" s="13"/>
      <c r="AG62" s="152"/>
      <c r="AH62" s="152"/>
      <c r="AI62" s="202"/>
      <c r="AJ62" s="202"/>
      <c r="AK62" s="225"/>
      <c r="AL62" s="192"/>
      <c r="AM62" s="166"/>
      <c r="AN62" s="180"/>
      <c r="AO62" s="159"/>
      <c r="AP62" s="14"/>
      <c r="AQ62" s="9"/>
      <c r="AR62" s="7"/>
      <c r="AS62" s="152"/>
      <c r="AT62" s="23"/>
      <c r="AU62" s="3"/>
      <c r="AV62" s="152"/>
      <c r="AW62" s="23"/>
      <c r="AX62" s="3"/>
      <c r="AY62" s="13"/>
      <c r="AZ62" s="152"/>
      <c r="BA62" s="152"/>
      <c r="BB62" s="202"/>
      <c r="BC62" s="202"/>
      <c r="BD62" s="225"/>
      <c r="BE62" s="192"/>
      <c r="BF62" s="166"/>
      <c r="BG62" s="180"/>
      <c r="BH62" s="159"/>
      <c r="BI62" s="14"/>
      <c r="BJ62" s="9"/>
      <c r="BK62" s="7"/>
      <c r="BL62" s="152"/>
      <c r="BM62" s="23"/>
      <c r="BN62" s="3"/>
      <c r="BO62" s="152"/>
      <c r="BP62" s="23"/>
      <c r="BQ62" s="3"/>
      <c r="BR62" s="13"/>
      <c r="BS62" s="152"/>
      <c r="BT62" s="152"/>
      <c r="BU62" s="202"/>
      <c r="BV62" s="202"/>
      <c r="BW62" s="225"/>
      <c r="BX62" s="192"/>
      <c r="BY62" s="166"/>
      <c r="BZ62" s="180"/>
      <c r="CA62" s="159"/>
      <c r="CB62" s="14"/>
      <c r="CC62" s="9"/>
      <c r="CD62" s="7"/>
      <c r="CE62" s="152"/>
      <c r="CF62" s="23"/>
      <c r="CG62" s="3"/>
      <c r="CH62" s="152"/>
      <c r="CI62" s="23"/>
      <c r="CJ62" s="3"/>
      <c r="CK62" s="13"/>
      <c r="CL62" s="152"/>
      <c r="CM62" s="152"/>
      <c r="CN62" s="202"/>
      <c r="CO62" s="202"/>
      <c r="CP62" s="225"/>
      <c r="CQ62" s="192"/>
      <c r="CR62" s="166"/>
      <c r="CS62" s="180"/>
      <c r="CT62" s="159"/>
      <c r="CU62" s="14"/>
      <c r="CV62" s="9"/>
      <c r="CW62" s="7"/>
      <c r="CX62" s="152"/>
      <c r="CY62" s="23"/>
      <c r="CZ62" s="3"/>
      <c r="DA62" s="152"/>
      <c r="DB62" s="23"/>
      <c r="DC62" s="3"/>
      <c r="DD62" s="13"/>
      <c r="DE62" s="152"/>
      <c r="DF62" s="152"/>
      <c r="DG62" s="202"/>
      <c r="DH62" s="202"/>
      <c r="DI62" s="225"/>
      <c r="DJ62" s="192"/>
      <c r="DK62" s="192"/>
      <c r="DL62" s="192"/>
      <c r="DM62" s="192"/>
      <c r="DN62" s="192"/>
      <c r="DO62" s="192"/>
      <c r="DP62" s="192"/>
      <c r="DQ62" s="192"/>
      <c r="DR62" s="192"/>
      <c r="DS62" s="208"/>
    </row>
    <row r="63" spans="1:123" ht="15.75" customHeight="1">
      <c r="A63" s="236"/>
      <c r="B63" s="279"/>
      <c r="C63" s="159"/>
      <c r="D63" s="14"/>
      <c r="E63" s="7"/>
      <c r="F63" s="7"/>
      <c r="G63" s="159"/>
      <c r="H63" s="19"/>
      <c r="I63" s="18"/>
      <c r="J63" s="159"/>
      <c r="K63" s="19"/>
      <c r="L63" s="18"/>
      <c r="M63" s="277"/>
      <c r="N63" s="159"/>
      <c r="O63" s="159"/>
      <c r="P63" s="248"/>
      <c r="Q63" s="248"/>
      <c r="R63" s="225"/>
      <c r="S63" s="10"/>
      <c r="T63" s="236"/>
      <c r="U63" s="186"/>
      <c r="V63" s="159"/>
      <c r="W63" s="14"/>
      <c r="X63" s="7"/>
      <c r="Y63" s="7"/>
      <c r="Z63" s="152"/>
      <c r="AA63" s="5"/>
      <c r="AB63" s="4"/>
      <c r="AC63" s="152"/>
      <c r="AD63" s="5"/>
      <c r="AE63" s="4"/>
      <c r="AF63" s="13"/>
      <c r="AG63" s="152"/>
      <c r="AH63" s="152"/>
      <c r="AI63" s="202"/>
      <c r="AJ63" s="202"/>
      <c r="AK63" s="225"/>
      <c r="AL63" s="192"/>
      <c r="AM63" s="236"/>
      <c r="AN63" s="186"/>
      <c r="AO63" s="159"/>
      <c r="AP63" s="14"/>
      <c r="AQ63" s="7"/>
      <c r="AR63" s="7"/>
      <c r="AS63" s="152"/>
      <c r="AT63" s="5"/>
      <c r="AU63" s="4"/>
      <c r="AV63" s="152"/>
      <c r="AW63" s="5"/>
      <c r="AX63" s="4"/>
      <c r="AY63" s="13"/>
      <c r="AZ63" s="152"/>
      <c r="BA63" s="152"/>
      <c r="BB63" s="202"/>
      <c r="BC63" s="202"/>
      <c r="BD63" s="225"/>
      <c r="BE63" s="192"/>
      <c r="BF63" s="236"/>
      <c r="BG63" s="186"/>
      <c r="BH63" s="159"/>
      <c r="BI63" s="14"/>
      <c r="BJ63" s="7"/>
      <c r="BK63" s="7"/>
      <c r="BL63" s="152"/>
      <c r="BM63" s="5"/>
      <c r="BN63" s="4"/>
      <c r="BO63" s="152"/>
      <c r="BP63" s="5"/>
      <c r="BQ63" s="4"/>
      <c r="BR63" s="13"/>
      <c r="BS63" s="152"/>
      <c r="BT63" s="152"/>
      <c r="BU63" s="202"/>
      <c r="BV63" s="202"/>
      <c r="BW63" s="225"/>
      <c r="BX63" s="192"/>
      <c r="BY63" s="236"/>
      <c r="BZ63" s="186"/>
      <c r="CA63" s="159"/>
      <c r="CB63" s="14"/>
      <c r="CC63" s="7"/>
      <c r="CD63" s="7"/>
      <c r="CE63" s="152"/>
      <c r="CF63" s="5"/>
      <c r="CG63" s="4"/>
      <c r="CH63" s="152"/>
      <c r="CI63" s="5"/>
      <c r="CJ63" s="4"/>
      <c r="CK63" s="13"/>
      <c r="CL63" s="152"/>
      <c r="CM63" s="152"/>
      <c r="CN63" s="202"/>
      <c r="CO63" s="202"/>
      <c r="CP63" s="225"/>
      <c r="CQ63" s="192"/>
      <c r="CR63" s="236"/>
      <c r="CS63" s="186"/>
      <c r="CT63" s="159"/>
      <c r="CU63" s="14"/>
      <c r="CV63" s="7"/>
      <c r="CW63" s="7"/>
      <c r="CX63" s="152"/>
      <c r="CY63" s="5"/>
      <c r="CZ63" s="4"/>
      <c r="DA63" s="152"/>
      <c r="DB63" s="5"/>
      <c r="DC63" s="4"/>
      <c r="DD63" s="13"/>
      <c r="DE63" s="152"/>
      <c r="DF63" s="152"/>
      <c r="DG63" s="202"/>
      <c r="DH63" s="202"/>
      <c r="DI63" s="225"/>
      <c r="DJ63" s="192"/>
      <c r="DK63" s="192"/>
      <c r="DL63" s="192"/>
      <c r="DM63" s="192"/>
      <c r="DN63" s="192"/>
      <c r="DO63" s="192"/>
      <c r="DP63" s="192"/>
      <c r="DQ63" s="192"/>
      <c r="DR63" s="192"/>
      <c r="DS63" s="208"/>
    </row>
    <row r="64" spans="1:123" ht="15.75" customHeight="1" thickBot="1">
      <c r="A64" s="230"/>
      <c r="B64" s="261"/>
      <c r="C64" s="159"/>
      <c r="D64" s="14"/>
      <c r="E64" s="7"/>
      <c r="F64" s="7"/>
      <c r="G64" s="159"/>
      <c r="H64" s="19"/>
      <c r="I64" s="18"/>
      <c r="J64" s="159"/>
      <c r="K64" s="19"/>
      <c r="L64" s="18"/>
      <c r="M64" s="277"/>
      <c r="N64" s="159"/>
      <c r="O64" s="159"/>
      <c r="P64" s="248"/>
      <c r="Q64" s="248"/>
      <c r="R64" s="225"/>
      <c r="S64" s="10"/>
      <c r="T64" s="237"/>
      <c r="U64" s="181"/>
      <c r="V64" s="159"/>
      <c r="W64" s="14"/>
      <c r="X64" s="7"/>
      <c r="Y64" s="7"/>
      <c r="Z64" s="152"/>
      <c r="AA64" s="5"/>
      <c r="AB64" s="4"/>
      <c r="AC64" s="152"/>
      <c r="AD64" s="5"/>
      <c r="AE64" s="4"/>
      <c r="AF64" s="13"/>
      <c r="AG64" s="152"/>
      <c r="AH64" s="152"/>
      <c r="AI64" s="202"/>
      <c r="AJ64" s="202"/>
      <c r="AK64" s="225"/>
      <c r="AL64" s="192"/>
      <c r="AM64" s="237"/>
      <c r="AN64" s="181"/>
      <c r="AO64" s="159"/>
      <c r="AP64" s="14"/>
      <c r="AQ64" s="7"/>
      <c r="AR64" s="7"/>
      <c r="AS64" s="152"/>
      <c r="AT64" s="5"/>
      <c r="AU64" s="4"/>
      <c r="AV64" s="152"/>
      <c r="AW64" s="5"/>
      <c r="AX64" s="4"/>
      <c r="AY64" s="13"/>
      <c r="AZ64" s="152"/>
      <c r="BA64" s="152"/>
      <c r="BB64" s="202"/>
      <c r="BC64" s="202"/>
      <c r="BD64" s="225"/>
      <c r="BE64" s="192"/>
      <c r="BF64" s="237"/>
      <c r="BG64" s="181"/>
      <c r="BH64" s="159"/>
      <c r="BI64" s="14"/>
      <c r="BJ64" s="7"/>
      <c r="BK64" s="7"/>
      <c r="BL64" s="152"/>
      <c r="BM64" s="5"/>
      <c r="BN64" s="4"/>
      <c r="BO64" s="152"/>
      <c r="BP64" s="5"/>
      <c r="BQ64" s="4"/>
      <c r="BR64" s="13"/>
      <c r="BS64" s="152"/>
      <c r="BT64" s="152"/>
      <c r="BU64" s="202"/>
      <c r="BV64" s="202"/>
      <c r="BW64" s="225"/>
      <c r="BX64" s="192"/>
      <c r="BY64" s="237"/>
      <c r="BZ64" s="181"/>
      <c r="CA64" s="159"/>
      <c r="CB64" s="14"/>
      <c r="CC64" s="7"/>
      <c r="CD64" s="7"/>
      <c r="CE64" s="152"/>
      <c r="CF64" s="5"/>
      <c r="CG64" s="4"/>
      <c r="CH64" s="152"/>
      <c r="CI64" s="5"/>
      <c r="CJ64" s="4"/>
      <c r="CK64" s="13"/>
      <c r="CL64" s="152"/>
      <c r="CM64" s="152"/>
      <c r="CN64" s="202"/>
      <c r="CO64" s="202"/>
      <c r="CP64" s="225"/>
      <c r="CQ64" s="192"/>
      <c r="CR64" s="237"/>
      <c r="CS64" s="181"/>
      <c r="CT64" s="159"/>
      <c r="CU64" s="14"/>
      <c r="CV64" s="7"/>
      <c r="CW64" s="7"/>
      <c r="CX64" s="152"/>
      <c r="CY64" s="5"/>
      <c r="CZ64" s="4"/>
      <c r="DA64" s="152"/>
      <c r="DB64" s="5"/>
      <c r="DC64" s="4"/>
      <c r="DD64" s="13"/>
      <c r="DE64" s="152"/>
      <c r="DF64" s="152"/>
      <c r="DG64" s="202"/>
      <c r="DH64" s="202"/>
      <c r="DI64" s="225"/>
      <c r="DJ64" s="192"/>
      <c r="DK64" s="192"/>
      <c r="DL64" s="192"/>
      <c r="DM64" s="192"/>
      <c r="DN64" s="192"/>
      <c r="DO64" s="192"/>
      <c r="DP64" s="192"/>
      <c r="DQ64" s="192"/>
      <c r="DR64" s="192"/>
      <c r="DS64" s="208"/>
    </row>
    <row r="65" spans="1:123" ht="15.75" customHeight="1" thickBot="1">
      <c r="A65" s="238"/>
      <c r="B65" s="270"/>
      <c r="C65" s="159"/>
      <c r="D65" s="14"/>
      <c r="E65" s="7"/>
      <c r="F65" s="7"/>
      <c r="G65" s="159"/>
      <c r="H65" s="19"/>
      <c r="I65" s="18"/>
      <c r="J65" s="159"/>
      <c r="K65" s="19"/>
      <c r="L65" s="18"/>
      <c r="M65" s="277"/>
      <c r="N65" s="159"/>
      <c r="O65" s="159"/>
      <c r="P65" s="248"/>
      <c r="Q65" s="248"/>
      <c r="R65" s="225"/>
      <c r="S65" s="10"/>
      <c r="T65" s="238"/>
      <c r="U65" s="183"/>
      <c r="V65" s="159"/>
      <c r="W65" s="14"/>
      <c r="X65" s="7"/>
      <c r="Y65" s="7"/>
      <c r="Z65" s="152"/>
      <c r="AA65" s="19"/>
      <c r="AB65" s="4"/>
      <c r="AC65" s="152"/>
      <c r="AD65" s="5"/>
      <c r="AE65" s="4"/>
      <c r="AF65" s="13"/>
      <c r="AG65" s="152"/>
      <c r="AH65" s="152"/>
      <c r="AI65" s="202"/>
      <c r="AJ65" s="202"/>
      <c r="AK65" s="225"/>
      <c r="AL65" s="192"/>
      <c r="AM65" s="238"/>
      <c r="AN65" s="183"/>
      <c r="AO65" s="159"/>
      <c r="AP65" s="14"/>
      <c r="AQ65" s="7"/>
      <c r="AR65" s="7"/>
      <c r="AS65" s="152"/>
      <c r="AT65" s="19"/>
      <c r="AU65" s="4"/>
      <c r="AV65" s="152"/>
      <c r="AW65" s="5"/>
      <c r="AX65" s="4"/>
      <c r="AY65" s="13"/>
      <c r="AZ65" s="152"/>
      <c r="BA65" s="152"/>
      <c r="BB65" s="202"/>
      <c r="BC65" s="202"/>
      <c r="BD65" s="225"/>
      <c r="BE65" s="192"/>
      <c r="BF65" s="238"/>
      <c r="BG65" s="183"/>
      <c r="BH65" s="159"/>
      <c r="BI65" s="14"/>
      <c r="BJ65" s="7"/>
      <c r="BK65" s="7"/>
      <c r="BL65" s="152"/>
      <c r="BM65" s="19"/>
      <c r="BN65" s="4"/>
      <c r="BO65" s="152"/>
      <c r="BP65" s="5"/>
      <c r="BQ65" s="4"/>
      <c r="BR65" s="13"/>
      <c r="BS65" s="152"/>
      <c r="BT65" s="152"/>
      <c r="BU65" s="202"/>
      <c r="BV65" s="202"/>
      <c r="BW65" s="225"/>
      <c r="BX65" s="192"/>
      <c r="BY65" s="238"/>
      <c r="BZ65" s="183"/>
      <c r="CA65" s="159"/>
      <c r="CB65" s="14"/>
      <c r="CC65" s="7"/>
      <c r="CD65" s="7"/>
      <c r="CE65" s="152"/>
      <c r="CF65" s="19"/>
      <c r="CG65" s="4"/>
      <c r="CH65" s="152"/>
      <c r="CI65" s="5"/>
      <c r="CJ65" s="4"/>
      <c r="CK65" s="13"/>
      <c r="CL65" s="152"/>
      <c r="CM65" s="152"/>
      <c r="CN65" s="202"/>
      <c r="CO65" s="202"/>
      <c r="CP65" s="225"/>
      <c r="CQ65" s="192"/>
      <c r="CR65" s="238"/>
      <c r="CS65" s="183"/>
      <c r="CT65" s="159"/>
      <c r="CU65" s="14"/>
      <c r="CV65" s="7"/>
      <c r="CW65" s="7"/>
      <c r="CX65" s="152"/>
      <c r="CY65" s="19"/>
      <c r="CZ65" s="4"/>
      <c r="DA65" s="152"/>
      <c r="DB65" s="5"/>
      <c r="DC65" s="4"/>
      <c r="DD65" s="13"/>
      <c r="DE65" s="152"/>
      <c r="DF65" s="152"/>
      <c r="DG65" s="202"/>
      <c r="DH65" s="202"/>
      <c r="DI65" s="225"/>
      <c r="DJ65" s="192"/>
      <c r="DK65" s="192"/>
      <c r="DL65" s="192"/>
      <c r="DM65" s="192"/>
      <c r="DN65" s="192"/>
      <c r="DO65" s="192"/>
      <c r="DP65" s="192"/>
      <c r="DQ65" s="192"/>
      <c r="DR65" s="192"/>
      <c r="DS65" s="208"/>
    </row>
    <row r="66" spans="1:123" ht="15.75" customHeight="1" thickBot="1">
      <c r="A66" s="272"/>
      <c r="B66" s="273"/>
      <c r="C66" s="159"/>
      <c r="D66" s="14"/>
      <c r="E66" s="7"/>
      <c r="F66" s="7"/>
      <c r="G66" s="159"/>
      <c r="H66" s="19"/>
      <c r="I66" s="18"/>
      <c r="J66" s="159"/>
      <c r="K66" s="19"/>
      <c r="L66" s="18"/>
      <c r="M66" s="277"/>
      <c r="N66" s="159"/>
      <c r="O66" s="159"/>
      <c r="P66" s="248"/>
      <c r="Q66" s="248"/>
      <c r="R66" s="225"/>
      <c r="S66" s="10"/>
      <c r="T66" s="234"/>
      <c r="U66" s="203"/>
      <c r="V66" s="159"/>
      <c r="W66" s="14"/>
      <c r="X66" s="7"/>
      <c r="Y66" s="7"/>
      <c r="Z66" s="152"/>
      <c r="AA66" s="19"/>
      <c r="AB66" s="4"/>
      <c r="AC66" s="152"/>
      <c r="AD66" s="5"/>
      <c r="AE66" s="4"/>
      <c r="AF66" s="13"/>
      <c r="AG66" s="152"/>
      <c r="AH66" s="152"/>
      <c r="AI66" s="202"/>
      <c r="AJ66" s="202"/>
      <c r="AK66" s="225"/>
      <c r="AL66" s="192"/>
      <c r="AM66" s="234"/>
      <c r="AN66" s="203"/>
      <c r="AO66" s="159"/>
      <c r="AP66" s="14"/>
      <c r="AQ66" s="7"/>
      <c r="AR66" s="7"/>
      <c r="AS66" s="152"/>
      <c r="AT66" s="19"/>
      <c r="AU66" s="4"/>
      <c r="AV66" s="152"/>
      <c r="AW66" s="5"/>
      <c r="AX66" s="4"/>
      <c r="AY66" s="13"/>
      <c r="AZ66" s="152"/>
      <c r="BA66" s="152"/>
      <c r="BB66" s="202"/>
      <c r="BC66" s="202"/>
      <c r="BD66" s="225"/>
      <c r="BE66" s="192"/>
      <c r="BF66" s="234"/>
      <c r="BG66" s="203"/>
      <c r="BH66" s="159"/>
      <c r="BI66" s="14"/>
      <c r="BJ66" s="7"/>
      <c r="BK66" s="7"/>
      <c r="BL66" s="152"/>
      <c r="BM66" s="19"/>
      <c r="BN66" s="4"/>
      <c r="BO66" s="152"/>
      <c r="BP66" s="5"/>
      <c r="BQ66" s="4"/>
      <c r="BR66" s="13"/>
      <c r="BS66" s="152"/>
      <c r="BT66" s="152"/>
      <c r="BU66" s="202"/>
      <c r="BV66" s="202"/>
      <c r="BW66" s="225"/>
      <c r="BX66" s="192"/>
      <c r="BY66" s="234"/>
      <c r="BZ66" s="203"/>
      <c r="CA66" s="159"/>
      <c r="CB66" s="14"/>
      <c r="CC66" s="7"/>
      <c r="CD66" s="7"/>
      <c r="CE66" s="152"/>
      <c r="CF66" s="19"/>
      <c r="CG66" s="4"/>
      <c r="CH66" s="152"/>
      <c r="CI66" s="5"/>
      <c r="CJ66" s="4"/>
      <c r="CK66" s="13"/>
      <c r="CL66" s="152"/>
      <c r="CM66" s="152"/>
      <c r="CN66" s="202"/>
      <c r="CO66" s="202"/>
      <c r="CP66" s="225"/>
      <c r="CQ66" s="192"/>
      <c r="CR66" s="234"/>
      <c r="CS66" s="203"/>
      <c r="CT66" s="159"/>
      <c r="CU66" s="14"/>
      <c r="CV66" s="7"/>
      <c r="CW66" s="7"/>
      <c r="CX66" s="152"/>
      <c r="CY66" s="19"/>
      <c r="CZ66" s="4"/>
      <c r="DA66" s="152"/>
      <c r="DB66" s="5"/>
      <c r="DC66" s="4"/>
      <c r="DD66" s="13"/>
      <c r="DE66" s="152"/>
      <c r="DF66" s="152"/>
      <c r="DG66" s="202"/>
      <c r="DH66" s="202"/>
      <c r="DI66" s="225"/>
      <c r="DJ66" s="192"/>
      <c r="DK66" s="192"/>
      <c r="DL66" s="192"/>
      <c r="DM66" s="192"/>
      <c r="DN66" s="192"/>
      <c r="DO66" s="192"/>
      <c r="DP66" s="192"/>
      <c r="DQ66" s="192"/>
      <c r="DR66" s="192"/>
      <c r="DS66" s="208"/>
    </row>
    <row r="67" spans="1:123" ht="15.75" customHeight="1" thickBot="1">
      <c r="A67" s="280"/>
      <c r="B67" s="273"/>
      <c r="C67" s="159"/>
      <c r="D67" s="14"/>
      <c r="E67" s="7"/>
      <c r="F67" s="7"/>
      <c r="G67" s="159"/>
      <c r="H67" s="19"/>
      <c r="I67" s="18"/>
      <c r="J67" s="159"/>
      <c r="K67" s="19"/>
      <c r="L67" s="18"/>
      <c r="M67" s="277"/>
      <c r="N67" s="159"/>
      <c r="O67" s="159"/>
      <c r="P67" s="248"/>
      <c r="Q67" s="248"/>
      <c r="R67" s="225"/>
      <c r="S67" s="10"/>
      <c r="T67" s="217"/>
      <c r="U67" s="203"/>
      <c r="V67" s="159"/>
      <c r="W67" s="14"/>
      <c r="X67" s="7"/>
      <c r="Y67" s="7"/>
      <c r="Z67" s="152"/>
      <c r="AA67" s="5"/>
      <c r="AB67" s="4"/>
      <c r="AC67" s="152"/>
      <c r="AD67" s="5"/>
      <c r="AE67" s="4"/>
      <c r="AF67" s="13"/>
      <c r="AG67" s="152"/>
      <c r="AH67" s="152"/>
      <c r="AI67" s="202"/>
      <c r="AJ67" s="202"/>
      <c r="AK67" s="225"/>
      <c r="AL67" s="192"/>
      <c r="AM67" s="217"/>
      <c r="AN67" s="203"/>
      <c r="AO67" s="159"/>
      <c r="AP67" s="14"/>
      <c r="AQ67" s="7"/>
      <c r="AR67" s="7"/>
      <c r="AS67" s="152"/>
      <c r="AT67" s="5"/>
      <c r="AU67" s="4"/>
      <c r="AV67" s="152"/>
      <c r="AW67" s="5"/>
      <c r="AX67" s="4"/>
      <c r="AY67" s="13"/>
      <c r="AZ67" s="152"/>
      <c r="BA67" s="152"/>
      <c r="BB67" s="202"/>
      <c r="BC67" s="202"/>
      <c r="BD67" s="225"/>
      <c r="BE67" s="192"/>
      <c r="BF67" s="217"/>
      <c r="BG67" s="203"/>
      <c r="BH67" s="159"/>
      <c r="BI67" s="14"/>
      <c r="BJ67" s="7"/>
      <c r="BK67" s="7"/>
      <c r="BL67" s="152"/>
      <c r="BM67" s="5"/>
      <c r="BN67" s="4"/>
      <c r="BO67" s="152"/>
      <c r="BP67" s="5"/>
      <c r="BQ67" s="4"/>
      <c r="BR67" s="13"/>
      <c r="BS67" s="152"/>
      <c r="BT67" s="152"/>
      <c r="BU67" s="202"/>
      <c r="BV67" s="202"/>
      <c r="BW67" s="225"/>
      <c r="BX67" s="192"/>
      <c r="BY67" s="217"/>
      <c r="BZ67" s="203"/>
      <c r="CA67" s="159"/>
      <c r="CB67" s="14"/>
      <c r="CC67" s="7"/>
      <c r="CD67" s="7"/>
      <c r="CE67" s="152"/>
      <c r="CF67" s="5"/>
      <c r="CG67" s="4"/>
      <c r="CH67" s="152"/>
      <c r="CI67" s="5"/>
      <c r="CJ67" s="4"/>
      <c r="CK67" s="13"/>
      <c r="CL67" s="152"/>
      <c r="CM67" s="152"/>
      <c r="CN67" s="202"/>
      <c r="CO67" s="202"/>
      <c r="CP67" s="225"/>
      <c r="CQ67" s="192"/>
      <c r="CR67" s="217"/>
      <c r="CS67" s="203"/>
      <c r="CT67" s="159"/>
      <c r="CU67" s="14"/>
      <c r="CV67" s="7"/>
      <c r="CW67" s="7"/>
      <c r="CX67" s="152"/>
      <c r="CY67" s="5"/>
      <c r="CZ67" s="4"/>
      <c r="DA67" s="152"/>
      <c r="DB67" s="5"/>
      <c r="DC67" s="4"/>
      <c r="DD67" s="13"/>
      <c r="DE67" s="152"/>
      <c r="DF67" s="152"/>
      <c r="DG67" s="202"/>
      <c r="DH67" s="202"/>
      <c r="DI67" s="225"/>
      <c r="DJ67" s="192"/>
      <c r="DK67" s="192"/>
      <c r="DL67" s="192"/>
      <c r="DM67" s="192"/>
      <c r="DN67" s="192"/>
      <c r="DO67" s="192"/>
      <c r="DP67" s="192"/>
      <c r="DQ67" s="192"/>
      <c r="DR67" s="192"/>
      <c r="DS67" s="208"/>
    </row>
    <row r="68" spans="1:123" ht="15.75" customHeight="1">
      <c r="A68" s="144"/>
      <c r="B68" s="281"/>
      <c r="C68" s="159"/>
      <c r="D68" s="14"/>
      <c r="E68" s="7"/>
      <c r="F68" s="7"/>
      <c r="G68" s="159"/>
      <c r="H68" s="19"/>
      <c r="I68" s="18"/>
      <c r="J68" s="159"/>
      <c r="K68" s="19"/>
      <c r="L68" s="18"/>
      <c r="M68" s="277"/>
      <c r="N68" s="159"/>
      <c r="O68" s="159"/>
      <c r="P68" s="248"/>
      <c r="Q68" s="248"/>
      <c r="R68" s="225"/>
      <c r="S68" s="10"/>
      <c r="T68" s="144"/>
      <c r="U68" s="184"/>
      <c r="V68" s="159"/>
      <c r="W68" s="14"/>
      <c r="X68" s="7"/>
      <c r="Y68" s="7"/>
      <c r="Z68" s="152"/>
      <c r="AA68" s="5"/>
      <c r="AB68" s="4"/>
      <c r="AC68" s="152"/>
      <c r="AD68" s="5"/>
      <c r="AE68" s="4"/>
      <c r="AF68" s="13"/>
      <c r="AG68" s="152"/>
      <c r="AH68" s="152"/>
      <c r="AI68" s="202"/>
      <c r="AJ68" s="202"/>
      <c r="AK68" s="225"/>
      <c r="AL68" s="192"/>
      <c r="AM68" s="144"/>
      <c r="AN68" s="184"/>
      <c r="AO68" s="159"/>
      <c r="AP68" s="14"/>
      <c r="AQ68" s="7"/>
      <c r="AR68" s="7"/>
      <c r="AS68" s="152"/>
      <c r="AT68" s="5"/>
      <c r="AU68" s="4"/>
      <c r="AV68" s="152"/>
      <c r="AW68" s="5"/>
      <c r="AX68" s="4"/>
      <c r="AY68" s="13"/>
      <c r="AZ68" s="152"/>
      <c r="BA68" s="152"/>
      <c r="BB68" s="202"/>
      <c r="BC68" s="202"/>
      <c r="BD68" s="225"/>
      <c r="BE68" s="192"/>
      <c r="BF68" s="144"/>
      <c r="BG68" s="184"/>
      <c r="BH68" s="159"/>
      <c r="BI68" s="14"/>
      <c r="BJ68" s="7"/>
      <c r="BK68" s="7"/>
      <c r="BL68" s="152"/>
      <c r="BM68" s="5"/>
      <c r="BN68" s="4"/>
      <c r="BO68" s="152"/>
      <c r="BP68" s="5"/>
      <c r="BQ68" s="4"/>
      <c r="BR68" s="13"/>
      <c r="BS68" s="152"/>
      <c r="BT68" s="152"/>
      <c r="BU68" s="202"/>
      <c r="BV68" s="202"/>
      <c r="BW68" s="225"/>
      <c r="BX68" s="192"/>
      <c r="BY68" s="144"/>
      <c r="BZ68" s="184"/>
      <c r="CA68" s="159"/>
      <c r="CB68" s="14"/>
      <c r="CC68" s="7"/>
      <c r="CD68" s="7"/>
      <c r="CE68" s="152"/>
      <c r="CF68" s="5"/>
      <c r="CG68" s="4"/>
      <c r="CH68" s="152"/>
      <c r="CI68" s="5"/>
      <c r="CJ68" s="4"/>
      <c r="CK68" s="13"/>
      <c r="CL68" s="152"/>
      <c r="CM68" s="152"/>
      <c r="CN68" s="202"/>
      <c r="CO68" s="202"/>
      <c r="CP68" s="225"/>
      <c r="CQ68" s="192"/>
      <c r="CR68" s="144"/>
      <c r="CS68" s="184"/>
      <c r="CT68" s="159"/>
      <c r="CU68" s="14"/>
      <c r="CV68" s="7"/>
      <c r="CW68" s="7"/>
      <c r="CX68" s="152"/>
      <c r="CY68" s="5"/>
      <c r="CZ68" s="4"/>
      <c r="DA68" s="152"/>
      <c r="DB68" s="5"/>
      <c r="DC68" s="4"/>
      <c r="DD68" s="13"/>
      <c r="DE68" s="152"/>
      <c r="DF68" s="152"/>
      <c r="DG68" s="202"/>
      <c r="DH68" s="202"/>
      <c r="DI68" s="225"/>
      <c r="DJ68" s="192"/>
      <c r="DK68" s="192"/>
      <c r="DL68" s="192"/>
      <c r="DM68" s="192"/>
      <c r="DN68" s="192"/>
      <c r="DO68" s="192"/>
      <c r="DP68" s="192"/>
      <c r="DQ68" s="192"/>
      <c r="DR68" s="192"/>
      <c r="DS68" s="208"/>
    </row>
    <row r="69" spans="1:123" ht="15.75" customHeight="1" thickBot="1">
      <c r="A69" s="146"/>
      <c r="B69" s="282"/>
      <c r="C69" s="159"/>
      <c r="D69" s="14"/>
      <c r="E69" s="8"/>
      <c r="F69" s="8"/>
      <c r="G69" s="159"/>
      <c r="H69" s="19"/>
      <c r="I69" s="18"/>
      <c r="J69" s="159"/>
      <c r="K69" s="19"/>
      <c r="L69" s="18"/>
      <c r="M69" s="277"/>
      <c r="N69" s="159"/>
      <c r="O69" s="159"/>
      <c r="P69" s="248"/>
      <c r="Q69" s="248"/>
      <c r="R69" s="225"/>
      <c r="S69" s="10"/>
      <c r="T69" s="146"/>
      <c r="U69" s="185"/>
      <c r="V69" s="159"/>
      <c r="W69" s="14"/>
      <c r="X69" s="8"/>
      <c r="Y69" s="8"/>
      <c r="Z69" s="152"/>
      <c r="AA69" s="5"/>
      <c r="AB69" s="4"/>
      <c r="AC69" s="152"/>
      <c r="AD69" s="5"/>
      <c r="AE69" s="4"/>
      <c r="AF69" s="13"/>
      <c r="AG69" s="152"/>
      <c r="AH69" s="152"/>
      <c r="AI69" s="202"/>
      <c r="AJ69" s="202"/>
      <c r="AK69" s="225"/>
      <c r="AL69" s="192"/>
      <c r="AM69" s="146"/>
      <c r="AN69" s="185"/>
      <c r="AO69" s="159"/>
      <c r="AP69" s="14"/>
      <c r="AQ69" s="8"/>
      <c r="AR69" s="8"/>
      <c r="AS69" s="152"/>
      <c r="AT69" s="5"/>
      <c r="AU69" s="4"/>
      <c r="AV69" s="152"/>
      <c r="AW69" s="5"/>
      <c r="AX69" s="4"/>
      <c r="AY69" s="13"/>
      <c r="AZ69" s="152"/>
      <c r="BA69" s="152"/>
      <c r="BB69" s="202"/>
      <c r="BC69" s="202"/>
      <c r="BD69" s="225"/>
      <c r="BE69" s="192"/>
      <c r="BF69" s="146"/>
      <c r="BG69" s="185"/>
      <c r="BH69" s="159"/>
      <c r="BI69" s="14"/>
      <c r="BJ69" s="8"/>
      <c r="BK69" s="8"/>
      <c r="BL69" s="152"/>
      <c r="BM69" s="5"/>
      <c r="BN69" s="4"/>
      <c r="BO69" s="152"/>
      <c r="BP69" s="5"/>
      <c r="BQ69" s="4"/>
      <c r="BR69" s="13"/>
      <c r="BS69" s="152"/>
      <c r="BT69" s="152"/>
      <c r="BU69" s="202"/>
      <c r="BV69" s="202"/>
      <c r="BW69" s="225"/>
      <c r="BX69" s="192"/>
      <c r="BY69" s="146"/>
      <c r="BZ69" s="185"/>
      <c r="CA69" s="159"/>
      <c r="CB69" s="14"/>
      <c r="CC69" s="8"/>
      <c r="CD69" s="8"/>
      <c r="CE69" s="152"/>
      <c r="CF69" s="5"/>
      <c r="CG69" s="4"/>
      <c r="CH69" s="152"/>
      <c r="CI69" s="5"/>
      <c r="CJ69" s="4"/>
      <c r="CK69" s="13"/>
      <c r="CL69" s="152"/>
      <c r="CM69" s="152"/>
      <c r="CN69" s="202"/>
      <c r="CO69" s="202"/>
      <c r="CP69" s="225"/>
      <c r="CQ69" s="192"/>
      <c r="CR69" s="146"/>
      <c r="CS69" s="185"/>
      <c r="CT69" s="159"/>
      <c r="CU69" s="14"/>
      <c r="CV69" s="8"/>
      <c r="CW69" s="8"/>
      <c r="CX69" s="152"/>
      <c r="CY69" s="5"/>
      <c r="CZ69" s="4"/>
      <c r="DA69" s="152"/>
      <c r="DB69" s="5"/>
      <c r="DC69" s="4"/>
      <c r="DD69" s="13"/>
      <c r="DE69" s="152"/>
      <c r="DF69" s="152"/>
      <c r="DG69" s="202"/>
      <c r="DH69" s="202"/>
      <c r="DI69" s="225"/>
      <c r="DJ69" s="192"/>
      <c r="DK69" s="192"/>
      <c r="DL69" s="192"/>
      <c r="DM69" s="192"/>
      <c r="DN69" s="192"/>
      <c r="DO69" s="192"/>
      <c r="DP69" s="192"/>
      <c r="DQ69" s="192"/>
      <c r="DR69" s="192"/>
      <c r="DS69" s="208"/>
    </row>
    <row r="70" spans="1:123" ht="15.75" customHeight="1" thickBot="1">
      <c r="A70" s="218"/>
      <c r="B70" s="284"/>
      <c r="C70" s="159"/>
      <c r="D70" s="14"/>
      <c r="E70" s="27"/>
      <c r="F70" s="6"/>
      <c r="G70" s="159"/>
      <c r="H70" s="16"/>
      <c r="I70" s="15"/>
      <c r="J70" s="159"/>
      <c r="K70" s="16"/>
      <c r="L70" s="15"/>
      <c r="M70" s="277"/>
      <c r="N70" s="159"/>
      <c r="O70" s="159"/>
      <c r="P70" s="248"/>
      <c r="Q70" s="248"/>
      <c r="R70" s="225"/>
      <c r="S70" s="10"/>
      <c r="T70" s="218"/>
      <c r="U70" s="219"/>
      <c r="V70" s="159"/>
      <c r="W70" s="14"/>
      <c r="X70" s="27"/>
      <c r="Y70" s="6"/>
      <c r="Z70" s="152"/>
      <c r="AA70" s="20"/>
      <c r="AB70" s="2"/>
      <c r="AC70" s="152"/>
      <c r="AD70" s="20"/>
      <c r="AE70" s="2"/>
      <c r="AF70" s="13"/>
      <c r="AG70" s="152"/>
      <c r="AH70" s="152"/>
      <c r="AI70" s="202"/>
      <c r="AJ70" s="202"/>
      <c r="AK70" s="225"/>
      <c r="AL70" s="192"/>
      <c r="AM70" s="218"/>
      <c r="AN70" s="219"/>
      <c r="AO70" s="159"/>
      <c r="AP70" s="14"/>
      <c r="AQ70" s="27"/>
      <c r="AR70" s="6"/>
      <c r="AS70" s="152"/>
      <c r="AT70" s="20"/>
      <c r="AU70" s="2"/>
      <c r="AV70" s="152"/>
      <c r="AW70" s="20"/>
      <c r="AX70" s="2"/>
      <c r="AY70" s="13"/>
      <c r="AZ70" s="152"/>
      <c r="BA70" s="152"/>
      <c r="BB70" s="202"/>
      <c r="BC70" s="202"/>
      <c r="BD70" s="225"/>
      <c r="BE70" s="192"/>
      <c r="BF70" s="218"/>
      <c r="BG70" s="219"/>
      <c r="BH70" s="159"/>
      <c r="BI70" s="14"/>
      <c r="BJ70" s="27"/>
      <c r="BK70" s="6"/>
      <c r="BL70" s="152"/>
      <c r="BM70" s="20"/>
      <c r="BN70" s="2"/>
      <c r="BO70" s="152"/>
      <c r="BP70" s="20"/>
      <c r="BQ70" s="2"/>
      <c r="BR70" s="13"/>
      <c r="BS70" s="152"/>
      <c r="BT70" s="152"/>
      <c r="BU70" s="202"/>
      <c r="BV70" s="202"/>
      <c r="BW70" s="225"/>
      <c r="BX70" s="192"/>
      <c r="BY70" s="218"/>
      <c r="BZ70" s="219"/>
      <c r="CA70" s="159"/>
      <c r="CB70" s="14"/>
      <c r="CC70" s="27"/>
      <c r="CD70" s="6"/>
      <c r="CE70" s="152"/>
      <c r="CF70" s="20"/>
      <c r="CG70" s="2"/>
      <c r="CH70" s="152"/>
      <c r="CI70" s="20"/>
      <c r="CJ70" s="2"/>
      <c r="CK70" s="13"/>
      <c r="CL70" s="152"/>
      <c r="CM70" s="152"/>
      <c r="CN70" s="202"/>
      <c r="CO70" s="202"/>
      <c r="CP70" s="225"/>
      <c r="CQ70" s="192"/>
      <c r="CR70" s="218"/>
      <c r="CS70" s="219"/>
      <c r="CT70" s="159"/>
      <c r="CU70" s="14"/>
      <c r="CV70" s="27"/>
      <c r="CW70" s="6"/>
      <c r="CX70" s="152"/>
      <c r="CY70" s="20"/>
      <c r="CZ70" s="2"/>
      <c r="DA70" s="152"/>
      <c r="DB70" s="20"/>
      <c r="DC70" s="2"/>
      <c r="DD70" s="13"/>
      <c r="DE70" s="152"/>
      <c r="DF70" s="152"/>
      <c r="DG70" s="202"/>
      <c r="DH70" s="202"/>
      <c r="DI70" s="225"/>
      <c r="DJ70" s="192"/>
      <c r="DK70" s="192"/>
      <c r="DL70" s="192"/>
      <c r="DM70" s="192"/>
      <c r="DN70" s="192"/>
      <c r="DO70" s="192"/>
      <c r="DP70" s="192"/>
      <c r="DQ70" s="192"/>
      <c r="DR70" s="192"/>
      <c r="DS70" s="208"/>
    </row>
    <row r="71" spans="1:123" ht="15.75" customHeight="1" thickBot="1">
      <c r="A71" s="286"/>
      <c r="B71" s="287"/>
      <c r="C71" s="159"/>
      <c r="D71" s="14"/>
      <c r="E71" s="159"/>
      <c r="F71" s="159"/>
      <c r="G71" s="159"/>
      <c r="H71" s="159"/>
      <c r="I71" s="6"/>
      <c r="J71" s="159"/>
      <c r="K71" s="159"/>
      <c r="L71" s="21"/>
      <c r="M71" s="277"/>
      <c r="N71" s="159"/>
      <c r="O71" s="159"/>
      <c r="P71" s="248"/>
      <c r="Q71" s="248"/>
      <c r="R71" s="225"/>
      <c r="S71" s="10"/>
      <c r="T71" s="220"/>
      <c r="U71" s="221"/>
      <c r="V71" s="159"/>
      <c r="W71" s="14"/>
      <c r="X71" s="159"/>
      <c r="Y71" s="159"/>
      <c r="Z71" s="152"/>
      <c r="AA71" s="152"/>
      <c r="AB71" s="26"/>
      <c r="AC71" s="152"/>
      <c r="AD71" s="152"/>
      <c r="AE71" s="17"/>
      <c r="AF71" s="13"/>
      <c r="AG71" s="152"/>
      <c r="AH71" s="152"/>
      <c r="AI71" s="202"/>
      <c r="AJ71" s="202"/>
      <c r="AK71" s="225"/>
      <c r="AL71" s="192"/>
      <c r="AM71" s="220"/>
      <c r="AN71" s="221"/>
      <c r="AO71" s="159"/>
      <c r="AP71" s="14"/>
      <c r="AQ71" s="159"/>
      <c r="AR71" s="159"/>
      <c r="AS71" s="152"/>
      <c r="AT71" s="152"/>
      <c r="AU71" s="26"/>
      <c r="AV71" s="152"/>
      <c r="AW71" s="152"/>
      <c r="AX71" s="17"/>
      <c r="AY71" s="13"/>
      <c r="AZ71" s="152"/>
      <c r="BA71" s="152"/>
      <c r="BB71" s="202"/>
      <c r="BC71" s="202"/>
      <c r="BD71" s="225"/>
      <c r="BE71" s="192"/>
      <c r="BF71" s="220"/>
      <c r="BG71" s="221"/>
      <c r="BH71" s="159"/>
      <c r="BI71" s="14"/>
      <c r="BJ71" s="159"/>
      <c r="BK71" s="159"/>
      <c r="BL71" s="152"/>
      <c r="BM71" s="152"/>
      <c r="BN71" s="26"/>
      <c r="BO71" s="152"/>
      <c r="BP71" s="152"/>
      <c r="BQ71" s="17"/>
      <c r="BR71" s="13"/>
      <c r="BS71" s="152"/>
      <c r="BT71" s="152"/>
      <c r="BU71" s="202"/>
      <c r="BV71" s="202"/>
      <c r="BW71" s="225"/>
      <c r="BX71" s="192"/>
      <c r="BY71" s="220"/>
      <c r="BZ71" s="221"/>
      <c r="CA71" s="159"/>
      <c r="CB71" s="14"/>
      <c r="CC71" s="159"/>
      <c r="CD71" s="159"/>
      <c r="CE71" s="152"/>
      <c r="CF71" s="152"/>
      <c r="CG71" s="26"/>
      <c r="CH71" s="152"/>
      <c r="CI71" s="152"/>
      <c r="CJ71" s="17"/>
      <c r="CK71" s="13"/>
      <c r="CL71" s="152"/>
      <c r="CM71" s="152"/>
      <c r="CN71" s="202"/>
      <c r="CO71" s="202"/>
      <c r="CP71" s="225"/>
      <c r="CQ71" s="192"/>
      <c r="CR71" s="220"/>
      <c r="CS71" s="221"/>
      <c r="CT71" s="159"/>
      <c r="CU71" s="14"/>
      <c r="CV71" s="159"/>
      <c r="CW71" s="159"/>
      <c r="CX71" s="152"/>
      <c r="CY71" s="152"/>
      <c r="CZ71" s="26"/>
      <c r="DA71" s="152"/>
      <c r="DB71" s="152"/>
      <c r="DC71" s="17"/>
      <c r="DD71" s="13"/>
      <c r="DE71" s="152"/>
      <c r="DF71" s="152"/>
      <c r="DG71" s="202"/>
      <c r="DH71" s="202"/>
      <c r="DI71" s="225"/>
      <c r="DJ71" s="192"/>
      <c r="DK71" s="192"/>
      <c r="DL71" s="192"/>
      <c r="DM71" s="192"/>
      <c r="DN71" s="192"/>
      <c r="DO71" s="192"/>
      <c r="DP71" s="192"/>
      <c r="DQ71" s="192"/>
      <c r="DR71" s="192"/>
      <c r="DS71" s="208"/>
    </row>
    <row r="72" spans="1:123" ht="15.75" customHeight="1" thickBot="1">
      <c r="A72" s="188"/>
      <c r="B72" s="288"/>
      <c r="C72" s="159"/>
      <c r="D72" s="25"/>
      <c r="E72" s="24"/>
      <c r="F72" s="24"/>
      <c r="G72" s="24"/>
      <c r="H72" s="24"/>
      <c r="I72" s="24"/>
      <c r="J72" s="24"/>
      <c r="K72" s="24"/>
      <c r="L72" s="24"/>
      <c r="M72" s="289"/>
      <c r="N72" s="159"/>
      <c r="O72" s="159"/>
      <c r="P72" s="248"/>
      <c r="Q72" s="248"/>
      <c r="R72" s="225"/>
      <c r="S72" s="10"/>
      <c r="T72" s="188"/>
      <c r="U72" s="216"/>
      <c r="V72" s="159"/>
      <c r="W72" s="25"/>
      <c r="X72" s="24"/>
      <c r="Y72" s="24"/>
      <c r="Z72" s="12"/>
      <c r="AA72" s="12"/>
      <c r="AB72" s="12"/>
      <c r="AC72" s="12"/>
      <c r="AD72" s="12"/>
      <c r="AE72" s="12"/>
      <c r="AF72" s="11"/>
      <c r="AG72" s="152"/>
      <c r="AH72" s="152"/>
      <c r="AI72" s="202"/>
      <c r="AJ72" s="202"/>
      <c r="AK72" s="225"/>
      <c r="AL72" s="152"/>
      <c r="AM72" s="188"/>
      <c r="AN72" s="216"/>
      <c r="AO72" s="159"/>
      <c r="AP72" s="25"/>
      <c r="AQ72" s="24"/>
      <c r="AR72" s="24"/>
      <c r="AS72" s="12"/>
      <c r="AT72" s="12"/>
      <c r="AU72" s="12"/>
      <c r="AV72" s="12"/>
      <c r="AW72" s="12"/>
      <c r="AX72" s="12"/>
      <c r="AY72" s="11"/>
      <c r="AZ72" s="152"/>
      <c r="BA72" s="152"/>
      <c r="BB72" s="202"/>
      <c r="BC72" s="202"/>
      <c r="BD72" s="225"/>
      <c r="BE72" s="152"/>
      <c r="BF72" s="188"/>
      <c r="BG72" s="216"/>
      <c r="BH72" s="159"/>
      <c r="BI72" s="25"/>
      <c r="BJ72" s="24"/>
      <c r="BK72" s="24"/>
      <c r="BL72" s="12"/>
      <c r="BM72" s="12"/>
      <c r="BN72" s="12"/>
      <c r="BO72" s="12"/>
      <c r="BP72" s="12"/>
      <c r="BQ72" s="12"/>
      <c r="BR72" s="11"/>
      <c r="BS72" s="152"/>
      <c r="BT72" s="152"/>
      <c r="BU72" s="202"/>
      <c r="BV72" s="202"/>
      <c r="BW72" s="225"/>
      <c r="BX72" s="152"/>
      <c r="BY72" s="188"/>
      <c r="BZ72" s="216"/>
      <c r="CA72" s="159"/>
      <c r="CB72" s="25"/>
      <c r="CC72" s="24"/>
      <c r="CD72" s="24"/>
      <c r="CE72" s="12"/>
      <c r="CF72" s="12"/>
      <c r="CG72" s="12"/>
      <c r="CH72" s="12"/>
      <c r="CI72" s="12"/>
      <c r="CJ72" s="12"/>
      <c r="CK72" s="11"/>
      <c r="CL72" s="152"/>
      <c r="CM72" s="152"/>
      <c r="CN72" s="202"/>
      <c r="CO72" s="202"/>
      <c r="CP72" s="225"/>
      <c r="CQ72" s="152"/>
      <c r="CR72" s="188"/>
      <c r="CS72" s="216"/>
      <c r="CT72" s="159"/>
      <c r="CU72" s="25"/>
      <c r="CV72" s="24"/>
      <c r="CW72" s="24"/>
      <c r="CX72" s="12"/>
      <c r="CY72" s="12"/>
      <c r="CZ72" s="12"/>
      <c r="DA72" s="12"/>
      <c r="DB72" s="12"/>
      <c r="DC72" s="12"/>
      <c r="DD72" s="11"/>
      <c r="DE72" s="152"/>
      <c r="DF72" s="152"/>
      <c r="DG72" s="202"/>
      <c r="DH72" s="202"/>
      <c r="DI72" s="225"/>
      <c r="DJ72" s="152"/>
      <c r="DK72" s="152"/>
      <c r="DL72" s="152"/>
      <c r="DM72" s="10"/>
      <c r="DN72" s="10"/>
      <c r="DO72" s="10"/>
      <c r="DP72" s="10"/>
      <c r="DQ72" s="10"/>
      <c r="DR72" s="10"/>
    </row>
    <row r="73" spans="1:123" ht="15.75" customHeight="1">
      <c r="A73" s="188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248"/>
      <c r="Q73" s="248"/>
      <c r="R73" s="225"/>
      <c r="S73" s="10"/>
      <c r="T73" s="188"/>
      <c r="U73" s="159"/>
      <c r="V73" s="159"/>
      <c r="W73" s="159"/>
      <c r="X73" s="159"/>
      <c r="Y73" s="159"/>
      <c r="Z73" s="152"/>
      <c r="AA73" s="152"/>
      <c r="AB73" s="152"/>
      <c r="AC73" s="152"/>
      <c r="AD73" s="152"/>
      <c r="AE73" s="152"/>
      <c r="AF73" s="152"/>
      <c r="AG73" s="152"/>
      <c r="AH73" s="152"/>
      <c r="AI73" s="202"/>
      <c r="AJ73" s="202"/>
      <c r="AK73" s="225"/>
      <c r="AL73" s="152"/>
      <c r="AM73" s="188"/>
      <c r="AN73" s="159"/>
      <c r="AO73" s="159"/>
      <c r="AP73" s="159"/>
      <c r="AQ73" s="159"/>
      <c r="AR73" s="159"/>
      <c r="AS73" s="152"/>
      <c r="AT73" s="152"/>
      <c r="AU73" s="152"/>
      <c r="AV73" s="152"/>
      <c r="AW73" s="152"/>
      <c r="AX73" s="152"/>
      <c r="AY73" s="152"/>
      <c r="AZ73" s="152"/>
      <c r="BA73" s="152"/>
      <c r="BB73" s="202"/>
      <c r="BC73" s="202"/>
      <c r="BD73" s="225"/>
      <c r="BE73" s="152"/>
      <c r="BF73" s="188"/>
      <c r="BG73" s="159"/>
      <c r="BH73" s="159"/>
      <c r="BI73" s="159"/>
      <c r="BJ73" s="159"/>
      <c r="BK73" s="159"/>
      <c r="BL73" s="152"/>
      <c r="BM73" s="152"/>
      <c r="BN73" s="152"/>
      <c r="BO73" s="152"/>
      <c r="BP73" s="152"/>
      <c r="BQ73" s="152"/>
      <c r="BR73" s="152"/>
      <c r="BS73" s="152"/>
      <c r="BT73" s="152"/>
      <c r="BU73" s="202"/>
      <c r="BV73" s="202"/>
      <c r="BW73" s="225"/>
      <c r="BX73" s="152"/>
      <c r="BY73" s="188"/>
      <c r="BZ73" s="159"/>
      <c r="CA73" s="159"/>
      <c r="CB73" s="159"/>
      <c r="CC73" s="159"/>
      <c r="CD73" s="159"/>
      <c r="CE73" s="152"/>
      <c r="CF73" s="152"/>
      <c r="CG73" s="152"/>
      <c r="CH73" s="152"/>
      <c r="CI73" s="152"/>
      <c r="CJ73" s="152"/>
      <c r="CK73" s="152"/>
      <c r="CL73" s="152"/>
      <c r="CM73" s="152"/>
      <c r="CN73" s="202"/>
      <c r="CO73" s="202"/>
      <c r="CP73" s="225"/>
      <c r="CQ73" s="152"/>
      <c r="CR73" s="188"/>
      <c r="CS73" s="159"/>
      <c r="CT73" s="159"/>
      <c r="CU73" s="159"/>
      <c r="CV73" s="159"/>
      <c r="CW73" s="159"/>
      <c r="CX73" s="152"/>
      <c r="CY73" s="152"/>
      <c r="CZ73" s="152"/>
      <c r="DA73" s="152"/>
      <c r="DB73" s="152"/>
      <c r="DC73" s="152"/>
      <c r="DD73" s="152"/>
      <c r="DE73" s="152"/>
      <c r="DF73" s="152"/>
      <c r="DG73" s="202"/>
      <c r="DH73" s="202"/>
      <c r="DI73" s="225"/>
      <c r="DJ73" s="152"/>
      <c r="DK73" s="152"/>
      <c r="DL73" s="152"/>
      <c r="DM73" s="10"/>
      <c r="DN73" s="10"/>
      <c r="DO73" s="10"/>
      <c r="DP73" s="10"/>
      <c r="DQ73" s="10"/>
      <c r="DR73" s="10"/>
    </row>
    <row r="74" spans="1:123" ht="15.75" customHeight="1" thickBot="1">
      <c r="A74" s="188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248"/>
      <c r="Q74" s="248"/>
      <c r="R74" s="225"/>
      <c r="S74" s="10"/>
      <c r="T74" s="188"/>
      <c r="U74" s="159"/>
      <c r="V74" s="159"/>
      <c r="W74" s="159"/>
      <c r="X74" s="159"/>
      <c r="Y74" s="159"/>
      <c r="Z74" s="152"/>
      <c r="AA74" s="152"/>
      <c r="AB74" s="152"/>
      <c r="AC74" s="152"/>
      <c r="AD74" s="152"/>
      <c r="AE74" s="152"/>
      <c r="AF74" s="152"/>
      <c r="AG74" s="152"/>
      <c r="AH74" s="152"/>
      <c r="AI74" s="202"/>
      <c r="AJ74" s="202"/>
      <c r="AK74" s="225"/>
      <c r="AL74" s="10"/>
      <c r="AM74" s="188"/>
      <c r="AN74" s="159"/>
      <c r="AO74" s="159"/>
      <c r="AP74" s="159"/>
      <c r="AQ74" s="159"/>
      <c r="AR74" s="159"/>
      <c r="AS74" s="152"/>
      <c r="AT74" s="152"/>
      <c r="AU74" s="152"/>
      <c r="AV74" s="152"/>
      <c r="AW74" s="152"/>
      <c r="AX74" s="152"/>
      <c r="AY74" s="152"/>
      <c r="AZ74" s="152"/>
      <c r="BA74" s="152"/>
      <c r="BB74" s="202"/>
      <c r="BC74" s="202"/>
      <c r="BD74" s="225"/>
      <c r="BE74" s="10"/>
      <c r="BF74" s="188"/>
      <c r="BG74" s="159"/>
      <c r="BH74" s="159"/>
      <c r="BI74" s="159"/>
      <c r="BJ74" s="159"/>
      <c r="BK74" s="159"/>
      <c r="BL74" s="152"/>
      <c r="BM74" s="152"/>
      <c r="BN74" s="152"/>
      <c r="BO74" s="152"/>
      <c r="BP74" s="152"/>
      <c r="BQ74" s="152"/>
      <c r="BR74" s="152"/>
      <c r="BS74" s="152"/>
      <c r="BT74" s="152"/>
      <c r="BU74" s="202"/>
      <c r="BV74" s="202"/>
      <c r="BW74" s="225"/>
      <c r="BX74" s="10"/>
      <c r="BY74" s="188"/>
      <c r="BZ74" s="159"/>
      <c r="CA74" s="159"/>
      <c r="CB74" s="159"/>
      <c r="CC74" s="159"/>
      <c r="CD74" s="159"/>
      <c r="CE74" s="152"/>
      <c r="CF74" s="152"/>
      <c r="CG74" s="152"/>
      <c r="CH74" s="152"/>
      <c r="CI74" s="152"/>
      <c r="CJ74" s="152"/>
      <c r="CK74" s="152"/>
      <c r="CL74" s="152"/>
      <c r="CM74" s="152"/>
      <c r="CN74" s="202"/>
      <c r="CO74" s="202"/>
      <c r="CP74" s="225"/>
      <c r="CQ74" s="10"/>
      <c r="CR74" s="188"/>
      <c r="CS74" s="159"/>
      <c r="CT74" s="159"/>
      <c r="CU74" s="159"/>
      <c r="CV74" s="159"/>
      <c r="CW74" s="159"/>
      <c r="CX74" s="152"/>
      <c r="CY74" s="152"/>
      <c r="CZ74" s="152"/>
      <c r="DA74" s="152"/>
      <c r="DB74" s="152"/>
      <c r="DC74" s="152"/>
      <c r="DD74" s="152"/>
      <c r="DE74" s="152"/>
      <c r="DF74" s="152"/>
      <c r="DG74" s="202"/>
      <c r="DH74" s="202"/>
      <c r="DI74" s="225"/>
      <c r="DJ74" s="10"/>
      <c r="DK74" s="10"/>
      <c r="DL74" s="10"/>
      <c r="DM74" s="10"/>
      <c r="DN74" s="10"/>
      <c r="DO74" s="10"/>
      <c r="DP74" s="10"/>
      <c r="DQ74" s="10"/>
      <c r="DR74" s="10"/>
    </row>
    <row r="75" spans="1:123" ht="15.75" customHeight="1" thickBot="1">
      <c r="A75" s="188"/>
      <c r="B75" s="159"/>
      <c r="C75" s="159"/>
      <c r="D75" s="159"/>
      <c r="E75" s="156"/>
      <c r="F75" s="159"/>
      <c r="G75" s="159"/>
      <c r="H75" s="156"/>
      <c r="I75" s="159"/>
      <c r="J75" s="159"/>
      <c r="K75" s="461"/>
      <c r="L75" s="461"/>
      <c r="M75" s="159"/>
      <c r="N75" s="159"/>
      <c r="O75" s="159"/>
      <c r="P75" s="248"/>
      <c r="Q75" s="248"/>
      <c r="R75" s="225"/>
      <c r="S75" s="10"/>
      <c r="T75" s="188"/>
      <c r="U75" s="159"/>
      <c r="V75" s="159"/>
      <c r="W75" s="159"/>
      <c r="X75" s="156"/>
      <c r="Y75" s="159"/>
      <c r="Z75" s="152"/>
      <c r="AA75" s="158"/>
      <c r="AB75" s="152"/>
      <c r="AC75" s="152"/>
      <c r="AD75" s="453"/>
      <c r="AE75" s="453"/>
      <c r="AF75" s="152"/>
      <c r="AG75" s="152"/>
      <c r="AH75" s="152"/>
      <c r="AI75" s="202"/>
      <c r="AJ75" s="202"/>
      <c r="AK75" s="225"/>
      <c r="AL75" s="10"/>
      <c r="AM75" s="188"/>
      <c r="AN75" s="159"/>
      <c r="AO75" s="159"/>
      <c r="AP75" s="159"/>
      <c r="AQ75" s="156"/>
      <c r="AR75" s="159"/>
      <c r="AS75" s="152"/>
      <c r="AT75" s="158"/>
      <c r="AU75" s="152"/>
      <c r="AV75" s="152"/>
      <c r="AW75" s="453"/>
      <c r="AX75" s="453"/>
      <c r="AY75" s="152"/>
      <c r="AZ75" s="152"/>
      <c r="BA75" s="152"/>
      <c r="BB75" s="202"/>
      <c r="BC75" s="202"/>
      <c r="BD75" s="225"/>
      <c r="BE75" s="10"/>
      <c r="BF75" s="188"/>
      <c r="BG75" s="159"/>
      <c r="BH75" s="159"/>
      <c r="BI75" s="159"/>
      <c r="BJ75" s="156"/>
      <c r="BK75" s="159"/>
      <c r="BL75" s="152"/>
      <c r="BM75" s="158"/>
      <c r="BN75" s="152"/>
      <c r="BO75" s="152"/>
      <c r="BP75" s="453"/>
      <c r="BQ75" s="453"/>
      <c r="BR75" s="152"/>
      <c r="BS75" s="152"/>
      <c r="BT75" s="152"/>
      <c r="BU75" s="202"/>
      <c r="BV75" s="202"/>
      <c r="BW75" s="225"/>
      <c r="BX75" s="10"/>
      <c r="BY75" s="188"/>
      <c r="BZ75" s="159"/>
      <c r="CA75" s="159"/>
      <c r="CB75" s="159"/>
      <c r="CC75" s="156"/>
      <c r="CD75" s="159"/>
      <c r="CE75" s="152"/>
      <c r="CF75" s="158"/>
      <c r="CG75" s="152"/>
      <c r="CH75" s="152"/>
      <c r="CI75" s="453"/>
      <c r="CJ75" s="453"/>
      <c r="CK75" s="152"/>
      <c r="CL75" s="152"/>
      <c r="CM75" s="152"/>
      <c r="CN75" s="202"/>
      <c r="CO75" s="202"/>
      <c r="CP75" s="225"/>
      <c r="CQ75" s="10"/>
      <c r="CR75" s="188"/>
      <c r="CS75" s="159"/>
      <c r="CT75" s="159"/>
      <c r="CU75" s="159"/>
      <c r="CV75" s="156"/>
      <c r="CW75" s="159"/>
      <c r="CX75" s="152"/>
      <c r="CY75" s="158"/>
      <c r="CZ75" s="152"/>
      <c r="DA75" s="152"/>
      <c r="DB75" s="453"/>
      <c r="DC75" s="453"/>
      <c r="DD75" s="152"/>
      <c r="DE75" s="152"/>
      <c r="DF75" s="152"/>
      <c r="DG75" s="202"/>
      <c r="DH75" s="202"/>
      <c r="DI75" s="225"/>
      <c r="DJ75" s="10"/>
      <c r="DK75" s="10"/>
      <c r="DL75" s="10"/>
      <c r="DM75" s="10"/>
      <c r="DN75" s="10"/>
      <c r="DO75" s="10"/>
      <c r="DP75" s="10"/>
      <c r="DQ75" s="10"/>
      <c r="DR75" s="10"/>
    </row>
    <row r="76" spans="1:123" ht="15.75" customHeight="1" thickBot="1">
      <c r="A76" s="239"/>
      <c r="B76" s="159"/>
      <c r="C76" s="159"/>
      <c r="D76" s="159"/>
      <c r="E76" s="155"/>
      <c r="F76" s="22"/>
      <c r="G76" s="159"/>
      <c r="H76" s="155"/>
      <c r="I76" s="22"/>
      <c r="J76" s="159"/>
      <c r="K76" s="155"/>
      <c r="L76" s="290"/>
      <c r="M76" s="159"/>
      <c r="N76" s="159"/>
      <c r="O76" s="159"/>
      <c r="P76" s="248"/>
      <c r="Q76" s="248"/>
      <c r="R76" s="225"/>
      <c r="S76" s="192"/>
      <c r="T76" s="239"/>
      <c r="U76" s="159"/>
      <c r="V76" s="159"/>
      <c r="W76" s="159"/>
      <c r="X76" s="155"/>
      <c r="Y76" s="22"/>
      <c r="Z76" s="152"/>
      <c r="AA76" s="157"/>
      <c r="AB76" s="3"/>
      <c r="AC76" s="152"/>
      <c r="AD76" s="157"/>
      <c r="AE76" s="178"/>
      <c r="AF76" s="152"/>
      <c r="AG76" s="152"/>
      <c r="AH76" s="152"/>
      <c r="AI76" s="202"/>
      <c r="AJ76" s="202"/>
      <c r="AK76" s="225"/>
      <c r="AL76" s="192"/>
      <c r="AM76" s="239"/>
      <c r="AN76" s="159"/>
      <c r="AO76" s="159"/>
      <c r="AP76" s="159"/>
      <c r="AQ76" s="155"/>
      <c r="AR76" s="22"/>
      <c r="AS76" s="152"/>
      <c r="AT76" s="157"/>
      <c r="AU76" s="3"/>
      <c r="AV76" s="152"/>
      <c r="AW76" s="157"/>
      <c r="AX76" s="178"/>
      <c r="AY76" s="152"/>
      <c r="AZ76" s="152"/>
      <c r="BA76" s="152"/>
      <c r="BB76" s="202"/>
      <c r="BC76" s="202"/>
      <c r="BD76" s="225"/>
      <c r="BE76" s="192"/>
      <c r="BF76" s="239"/>
      <c r="BG76" s="159"/>
      <c r="BH76" s="159"/>
      <c r="BI76" s="159"/>
      <c r="BJ76" s="155"/>
      <c r="BK76" s="22"/>
      <c r="BL76" s="152"/>
      <c r="BM76" s="157"/>
      <c r="BN76" s="3"/>
      <c r="BO76" s="152"/>
      <c r="BP76" s="157"/>
      <c r="BQ76" s="178"/>
      <c r="BR76" s="152"/>
      <c r="BS76" s="152"/>
      <c r="BT76" s="152"/>
      <c r="BU76" s="202"/>
      <c r="BV76" s="202"/>
      <c r="BW76" s="225"/>
      <c r="BX76" s="192"/>
      <c r="BY76" s="239"/>
      <c r="BZ76" s="159"/>
      <c r="CA76" s="159"/>
      <c r="CB76" s="159"/>
      <c r="CC76" s="155"/>
      <c r="CD76" s="22"/>
      <c r="CE76" s="152"/>
      <c r="CF76" s="157"/>
      <c r="CG76" s="3"/>
      <c r="CH76" s="152"/>
      <c r="CI76" s="157"/>
      <c r="CJ76" s="178"/>
      <c r="CK76" s="152"/>
      <c r="CL76" s="152"/>
      <c r="CM76" s="152"/>
      <c r="CN76" s="202"/>
      <c r="CO76" s="202"/>
      <c r="CP76" s="225"/>
      <c r="CQ76" s="192"/>
      <c r="CR76" s="239"/>
      <c r="CS76" s="159"/>
      <c r="CT76" s="159"/>
      <c r="CU76" s="159"/>
      <c r="CV76" s="155"/>
      <c r="CW76" s="22"/>
      <c r="CX76" s="152"/>
      <c r="CY76" s="157"/>
      <c r="CZ76" s="3"/>
      <c r="DA76" s="152"/>
      <c r="DB76" s="157"/>
      <c r="DC76" s="178"/>
      <c r="DD76" s="152"/>
      <c r="DE76" s="152"/>
      <c r="DF76" s="152"/>
      <c r="DG76" s="202"/>
      <c r="DH76" s="202"/>
      <c r="DI76" s="225"/>
      <c r="DJ76" s="192"/>
      <c r="DK76" s="192"/>
      <c r="DL76" s="192"/>
      <c r="DM76" s="10"/>
      <c r="DN76" s="10"/>
      <c r="DO76" s="10"/>
      <c r="DP76" s="10"/>
      <c r="DQ76" s="10"/>
      <c r="DR76" s="10"/>
    </row>
    <row r="77" spans="1:123" ht="15.75" customHeight="1">
      <c r="A77" s="227"/>
      <c r="B77" s="22"/>
      <c r="C77" s="159"/>
      <c r="D77" s="159"/>
      <c r="E77" s="19"/>
      <c r="F77" s="18"/>
      <c r="G77" s="159"/>
      <c r="H77" s="19"/>
      <c r="I77" s="18"/>
      <c r="J77" s="159"/>
      <c r="K77" s="19"/>
      <c r="L77" s="18"/>
      <c r="M77" s="159"/>
      <c r="N77" s="159"/>
      <c r="O77" s="159"/>
      <c r="P77" s="248"/>
      <c r="Q77" s="248"/>
      <c r="R77" s="225"/>
      <c r="S77" s="192"/>
      <c r="T77" s="227"/>
      <c r="U77" s="22"/>
      <c r="V77" s="159"/>
      <c r="W77" s="159"/>
      <c r="X77" s="19"/>
      <c r="Y77" s="18"/>
      <c r="Z77" s="152"/>
      <c r="AA77" s="5"/>
      <c r="AB77" s="4"/>
      <c r="AC77" s="152"/>
      <c r="AD77" s="5"/>
      <c r="AE77" s="4"/>
      <c r="AF77" s="152"/>
      <c r="AG77" s="152"/>
      <c r="AH77" s="152"/>
      <c r="AI77" s="202"/>
      <c r="AJ77" s="202"/>
      <c r="AK77" s="225"/>
      <c r="AL77" s="192"/>
      <c r="AM77" s="227"/>
      <c r="AN77" s="22"/>
      <c r="AO77" s="159"/>
      <c r="AP77" s="159"/>
      <c r="AQ77" s="19"/>
      <c r="AR77" s="18"/>
      <c r="AS77" s="152"/>
      <c r="AT77" s="5"/>
      <c r="AU77" s="4"/>
      <c r="AV77" s="152"/>
      <c r="AW77" s="5"/>
      <c r="AX77" s="4"/>
      <c r="AY77" s="152"/>
      <c r="AZ77" s="152"/>
      <c r="BA77" s="152"/>
      <c r="BB77" s="202"/>
      <c r="BC77" s="202"/>
      <c r="BD77" s="225"/>
      <c r="BE77" s="192"/>
      <c r="BF77" s="227"/>
      <c r="BG77" s="22"/>
      <c r="BH77" s="159"/>
      <c r="BI77" s="159"/>
      <c r="BJ77" s="19"/>
      <c r="BK77" s="18"/>
      <c r="BL77" s="152"/>
      <c r="BM77" s="5"/>
      <c r="BN77" s="4"/>
      <c r="BO77" s="152"/>
      <c r="BP77" s="5"/>
      <c r="BQ77" s="4"/>
      <c r="BR77" s="152"/>
      <c r="BS77" s="152"/>
      <c r="BT77" s="152"/>
      <c r="BU77" s="202"/>
      <c r="BV77" s="202"/>
      <c r="BW77" s="225"/>
      <c r="BX77" s="192"/>
      <c r="BY77" s="227"/>
      <c r="BZ77" s="22"/>
      <c r="CA77" s="159"/>
      <c r="CB77" s="159"/>
      <c r="CC77" s="19"/>
      <c r="CD77" s="18"/>
      <c r="CE77" s="152"/>
      <c r="CF77" s="5"/>
      <c r="CG77" s="4"/>
      <c r="CH77" s="152"/>
      <c r="CI77" s="5"/>
      <c r="CJ77" s="4"/>
      <c r="CK77" s="152"/>
      <c r="CL77" s="152"/>
      <c r="CM77" s="152"/>
      <c r="CN77" s="202"/>
      <c r="CO77" s="202"/>
      <c r="CP77" s="225"/>
      <c r="CQ77" s="192"/>
      <c r="CR77" s="227"/>
      <c r="CS77" s="22"/>
      <c r="CT77" s="159"/>
      <c r="CU77" s="159"/>
      <c r="CV77" s="19"/>
      <c r="CW77" s="18"/>
      <c r="CX77" s="152"/>
      <c r="CY77" s="5"/>
      <c r="CZ77" s="4"/>
      <c r="DA77" s="152"/>
      <c r="DB77" s="5"/>
      <c r="DC77" s="4"/>
      <c r="DD77" s="152"/>
      <c r="DE77" s="152"/>
      <c r="DF77" s="152"/>
      <c r="DG77" s="202"/>
      <c r="DH77" s="202"/>
      <c r="DI77" s="225"/>
      <c r="DJ77" s="192"/>
      <c r="DK77" s="192"/>
      <c r="DL77" s="192"/>
      <c r="DM77" s="10"/>
      <c r="DN77" s="10"/>
      <c r="DO77" s="10"/>
      <c r="DP77" s="10"/>
      <c r="DQ77" s="10"/>
      <c r="DR77" s="10"/>
    </row>
    <row r="78" spans="1:123" ht="15.75" customHeight="1" thickBot="1">
      <c r="A78" s="166"/>
      <c r="B78" s="18"/>
      <c r="C78" s="159"/>
      <c r="D78" s="159"/>
      <c r="E78" s="16"/>
      <c r="F78" s="28"/>
      <c r="G78" s="159"/>
      <c r="H78" s="19"/>
      <c r="I78" s="18"/>
      <c r="J78" s="159"/>
      <c r="K78" s="19"/>
      <c r="L78" s="18"/>
      <c r="M78" s="159"/>
      <c r="N78" s="159"/>
      <c r="O78" s="159"/>
      <c r="P78" s="248"/>
      <c r="Q78" s="248"/>
      <c r="R78" s="225"/>
      <c r="S78" s="192"/>
      <c r="T78" s="166"/>
      <c r="U78" s="18"/>
      <c r="V78" s="159"/>
      <c r="W78" s="159"/>
      <c r="X78" s="16"/>
      <c r="Y78" s="28"/>
      <c r="Z78" s="152"/>
      <c r="AA78" s="5"/>
      <c r="AB78" s="4"/>
      <c r="AC78" s="152"/>
      <c r="AD78" s="5"/>
      <c r="AE78" s="4"/>
      <c r="AF78" s="152"/>
      <c r="AG78" s="152"/>
      <c r="AH78" s="152"/>
      <c r="AI78" s="202"/>
      <c r="AJ78" s="202"/>
      <c r="AK78" s="225"/>
      <c r="AL78" s="192"/>
      <c r="AM78" s="166"/>
      <c r="AN78" s="18"/>
      <c r="AO78" s="159"/>
      <c r="AP78" s="159"/>
      <c r="AQ78" s="16"/>
      <c r="AR78" s="28"/>
      <c r="AS78" s="152"/>
      <c r="AT78" s="5"/>
      <c r="AU78" s="4"/>
      <c r="AV78" s="152"/>
      <c r="AW78" s="5"/>
      <c r="AX78" s="4"/>
      <c r="AY78" s="152"/>
      <c r="AZ78" s="152"/>
      <c r="BA78" s="152"/>
      <c r="BB78" s="202"/>
      <c r="BC78" s="202"/>
      <c r="BD78" s="225"/>
      <c r="BE78" s="192"/>
      <c r="BF78" s="166"/>
      <c r="BG78" s="18"/>
      <c r="BH78" s="159"/>
      <c r="BI78" s="159"/>
      <c r="BJ78" s="16"/>
      <c r="BK78" s="28"/>
      <c r="BL78" s="152"/>
      <c r="BM78" s="5"/>
      <c r="BN78" s="4"/>
      <c r="BO78" s="152"/>
      <c r="BP78" s="5"/>
      <c r="BQ78" s="4"/>
      <c r="BR78" s="152"/>
      <c r="BS78" s="152"/>
      <c r="BT78" s="152"/>
      <c r="BU78" s="202"/>
      <c r="BV78" s="202"/>
      <c r="BW78" s="225"/>
      <c r="BX78" s="192"/>
      <c r="BY78" s="166"/>
      <c r="BZ78" s="18"/>
      <c r="CA78" s="159"/>
      <c r="CB78" s="159"/>
      <c r="CC78" s="16"/>
      <c r="CD78" s="28"/>
      <c r="CE78" s="152"/>
      <c r="CF78" s="5"/>
      <c r="CG78" s="4"/>
      <c r="CH78" s="152"/>
      <c r="CI78" s="5"/>
      <c r="CJ78" s="4"/>
      <c r="CK78" s="152"/>
      <c r="CL78" s="152"/>
      <c r="CM78" s="152"/>
      <c r="CN78" s="202"/>
      <c r="CO78" s="202"/>
      <c r="CP78" s="225"/>
      <c r="CQ78" s="192"/>
      <c r="CR78" s="166"/>
      <c r="CS78" s="18"/>
      <c r="CT78" s="159"/>
      <c r="CU78" s="159"/>
      <c r="CV78" s="16"/>
      <c r="CW78" s="28"/>
      <c r="CX78" s="152"/>
      <c r="CY78" s="5"/>
      <c r="CZ78" s="4"/>
      <c r="DA78" s="152"/>
      <c r="DB78" s="5"/>
      <c r="DC78" s="4"/>
      <c r="DD78" s="152"/>
      <c r="DE78" s="152"/>
      <c r="DF78" s="152"/>
      <c r="DG78" s="202"/>
      <c r="DH78" s="202"/>
      <c r="DI78" s="225"/>
      <c r="DJ78" s="192"/>
      <c r="DK78" s="192"/>
      <c r="DL78" s="192"/>
      <c r="DM78" s="10"/>
      <c r="DN78" s="10"/>
      <c r="DO78" s="10"/>
      <c r="DP78" s="10"/>
      <c r="DQ78" s="10"/>
      <c r="DR78" s="10"/>
    </row>
    <row r="79" spans="1:123" ht="15.75" customHeight="1" thickBot="1">
      <c r="A79" s="230"/>
      <c r="B79" s="15"/>
      <c r="C79" s="159"/>
      <c r="D79" s="159"/>
      <c r="E79" s="159"/>
      <c r="F79" s="162"/>
      <c r="G79" s="159"/>
      <c r="H79" s="16"/>
      <c r="I79" s="15"/>
      <c r="J79" s="159"/>
      <c r="K79" s="16"/>
      <c r="L79" s="15"/>
      <c r="M79" s="159"/>
      <c r="N79" s="159"/>
      <c r="O79" s="159"/>
      <c r="P79" s="248"/>
      <c r="Q79" s="248"/>
      <c r="R79" s="225"/>
      <c r="S79" s="192"/>
      <c r="T79" s="230"/>
      <c r="U79" s="15"/>
      <c r="V79" s="159"/>
      <c r="W79" s="159"/>
      <c r="X79" s="159"/>
      <c r="Y79" s="162"/>
      <c r="Z79" s="152"/>
      <c r="AA79" s="20"/>
      <c r="AB79" s="2"/>
      <c r="AC79" s="152"/>
      <c r="AD79" s="20"/>
      <c r="AE79" s="2"/>
      <c r="AF79" s="152"/>
      <c r="AG79" s="152"/>
      <c r="AH79" s="152"/>
      <c r="AI79" s="202"/>
      <c r="AJ79" s="202"/>
      <c r="AK79" s="225"/>
      <c r="AL79" s="192"/>
      <c r="AM79" s="230"/>
      <c r="AN79" s="15"/>
      <c r="AO79" s="159"/>
      <c r="AP79" s="159"/>
      <c r="AQ79" s="159"/>
      <c r="AR79" s="162"/>
      <c r="AS79" s="152"/>
      <c r="AT79" s="20"/>
      <c r="AU79" s="2"/>
      <c r="AV79" s="152"/>
      <c r="AW79" s="20"/>
      <c r="AX79" s="2"/>
      <c r="AY79" s="152"/>
      <c r="AZ79" s="152"/>
      <c r="BA79" s="152"/>
      <c r="BB79" s="202"/>
      <c r="BC79" s="202"/>
      <c r="BD79" s="225"/>
      <c r="BE79" s="192"/>
      <c r="BF79" s="230"/>
      <c r="BG79" s="15"/>
      <c r="BH79" s="159"/>
      <c r="BI79" s="159"/>
      <c r="BJ79" s="159"/>
      <c r="BK79" s="162"/>
      <c r="BL79" s="152"/>
      <c r="BM79" s="20"/>
      <c r="BN79" s="2"/>
      <c r="BO79" s="152"/>
      <c r="BP79" s="20"/>
      <c r="BQ79" s="2"/>
      <c r="BR79" s="152"/>
      <c r="BS79" s="152"/>
      <c r="BT79" s="152"/>
      <c r="BU79" s="202"/>
      <c r="BV79" s="202"/>
      <c r="BW79" s="225"/>
      <c r="BX79" s="192"/>
      <c r="BY79" s="230"/>
      <c r="BZ79" s="15"/>
      <c r="CA79" s="159"/>
      <c r="CB79" s="159"/>
      <c r="CC79" s="159"/>
      <c r="CD79" s="162"/>
      <c r="CE79" s="152"/>
      <c r="CF79" s="20"/>
      <c r="CG79" s="2"/>
      <c r="CH79" s="152"/>
      <c r="CI79" s="20"/>
      <c r="CJ79" s="2"/>
      <c r="CK79" s="152"/>
      <c r="CL79" s="152"/>
      <c r="CM79" s="152"/>
      <c r="CN79" s="202"/>
      <c r="CO79" s="202"/>
      <c r="CP79" s="225"/>
      <c r="CQ79" s="192"/>
      <c r="CR79" s="230"/>
      <c r="CS79" s="15"/>
      <c r="CT79" s="159"/>
      <c r="CU79" s="159"/>
      <c r="CV79" s="159"/>
      <c r="CW79" s="162"/>
      <c r="CX79" s="152"/>
      <c r="CY79" s="20"/>
      <c r="CZ79" s="2"/>
      <c r="DA79" s="152"/>
      <c r="DB79" s="20"/>
      <c r="DC79" s="2"/>
      <c r="DD79" s="152"/>
      <c r="DE79" s="152"/>
      <c r="DF79" s="152"/>
      <c r="DG79" s="202"/>
      <c r="DH79" s="202"/>
      <c r="DI79" s="225"/>
      <c r="DJ79" s="192"/>
      <c r="DK79" s="192"/>
      <c r="DL79" s="192"/>
      <c r="DM79" s="10"/>
      <c r="DN79" s="10"/>
      <c r="DO79" s="10"/>
      <c r="DP79" s="10"/>
      <c r="DQ79" s="10"/>
      <c r="DR79" s="10"/>
    </row>
    <row r="80" spans="1:123" ht="15.75" customHeight="1" thickBot="1">
      <c r="A80" s="238"/>
      <c r="B80" s="21"/>
      <c r="C80" s="159"/>
      <c r="D80" s="159"/>
      <c r="E80" s="159"/>
      <c r="F80" s="159"/>
      <c r="G80" s="159"/>
      <c r="H80" s="159"/>
      <c r="I80" s="21"/>
      <c r="J80" s="159"/>
      <c r="K80" s="159"/>
      <c r="L80" s="21"/>
      <c r="M80" s="159"/>
      <c r="N80" s="159"/>
      <c r="O80" s="159"/>
      <c r="P80" s="248"/>
      <c r="Q80" s="248"/>
      <c r="R80" s="225"/>
      <c r="S80" s="192"/>
      <c r="T80" s="238"/>
      <c r="U80" s="21"/>
      <c r="V80" s="159"/>
      <c r="W80" s="159"/>
      <c r="X80" s="159"/>
      <c r="Y80" s="159"/>
      <c r="Z80" s="152"/>
      <c r="AA80" s="152"/>
      <c r="AB80" s="17"/>
      <c r="AC80" s="152"/>
      <c r="AD80" s="152"/>
      <c r="AE80" s="17"/>
      <c r="AF80" s="152"/>
      <c r="AG80" s="152"/>
      <c r="AH80" s="152"/>
      <c r="AI80" s="202"/>
      <c r="AJ80" s="202"/>
      <c r="AK80" s="225"/>
      <c r="AL80" s="192"/>
      <c r="AM80" s="238"/>
      <c r="AN80" s="21"/>
      <c r="AO80" s="159"/>
      <c r="AP80" s="159"/>
      <c r="AQ80" s="159"/>
      <c r="AR80" s="159"/>
      <c r="AS80" s="152"/>
      <c r="AT80" s="152"/>
      <c r="AU80" s="17"/>
      <c r="AV80" s="152"/>
      <c r="AW80" s="152"/>
      <c r="AX80" s="17"/>
      <c r="AY80" s="152"/>
      <c r="AZ80" s="152"/>
      <c r="BA80" s="152"/>
      <c r="BB80" s="202"/>
      <c r="BC80" s="202"/>
      <c r="BD80" s="225"/>
      <c r="BE80" s="192"/>
      <c r="BF80" s="238"/>
      <c r="BG80" s="21"/>
      <c r="BH80" s="159"/>
      <c r="BI80" s="159"/>
      <c r="BJ80" s="159"/>
      <c r="BK80" s="159"/>
      <c r="BL80" s="152"/>
      <c r="BM80" s="152"/>
      <c r="BN80" s="17"/>
      <c r="BO80" s="152"/>
      <c r="BP80" s="152"/>
      <c r="BQ80" s="17"/>
      <c r="BR80" s="152"/>
      <c r="BS80" s="152"/>
      <c r="BT80" s="152"/>
      <c r="BU80" s="202"/>
      <c r="BV80" s="202"/>
      <c r="BW80" s="225"/>
      <c r="BX80" s="192"/>
      <c r="BY80" s="238"/>
      <c r="BZ80" s="21"/>
      <c r="CA80" s="159"/>
      <c r="CB80" s="159"/>
      <c r="CC80" s="159"/>
      <c r="CD80" s="159"/>
      <c r="CE80" s="152"/>
      <c r="CF80" s="152"/>
      <c r="CG80" s="17"/>
      <c r="CH80" s="152"/>
      <c r="CI80" s="152"/>
      <c r="CJ80" s="17"/>
      <c r="CK80" s="152"/>
      <c r="CL80" s="152"/>
      <c r="CM80" s="152"/>
      <c r="CN80" s="202"/>
      <c r="CO80" s="202"/>
      <c r="CP80" s="225"/>
      <c r="CQ80" s="192"/>
      <c r="CR80" s="238"/>
      <c r="CS80" s="21"/>
      <c r="CT80" s="159"/>
      <c r="CU80" s="159"/>
      <c r="CV80" s="159"/>
      <c r="CW80" s="159"/>
      <c r="CX80" s="152"/>
      <c r="CY80" s="152"/>
      <c r="CZ80" s="17"/>
      <c r="DA80" s="152"/>
      <c r="DB80" s="152"/>
      <c r="DC80" s="17"/>
      <c r="DD80" s="152"/>
      <c r="DE80" s="152"/>
      <c r="DF80" s="152"/>
      <c r="DG80" s="202"/>
      <c r="DH80" s="202"/>
      <c r="DI80" s="225"/>
      <c r="DJ80" s="192"/>
      <c r="DK80" s="192"/>
      <c r="DL80" s="192"/>
      <c r="DM80" s="10"/>
      <c r="DN80" s="10"/>
      <c r="DO80" s="10"/>
      <c r="DP80" s="10"/>
      <c r="DQ80" s="10"/>
      <c r="DR80" s="10"/>
    </row>
    <row r="81" spans="1:122" ht="15.75" customHeight="1">
      <c r="A81" s="188"/>
      <c r="B81" s="159"/>
      <c r="C81" s="159"/>
      <c r="D81" s="159"/>
      <c r="E81" s="159"/>
      <c r="F81" s="159"/>
      <c r="G81" s="159"/>
      <c r="H81" s="273"/>
      <c r="I81" s="273"/>
      <c r="J81" s="159"/>
      <c r="K81" s="273"/>
      <c r="L81" s="273"/>
      <c r="M81" s="159"/>
      <c r="N81" s="159"/>
      <c r="O81" s="159"/>
      <c r="P81" s="248"/>
      <c r="Q81" s="248"/>
      <c r="R81" s="225"/>
      <c r="S81" s="192"/>
      <c r="T81" s="188"/>
      <c r="U81" s="159"/>
      <c r="V81" s="159"/>
      <c r="W81" s="159"/>
      <c r="X81" s="159"/>
      <c r="Y81" s="159"/>
      <c r="Z81" s="152"/>
      <c r="AA81" s="203"/>
      <c r="AB81" s="203"/>
      <c r="AC81" s="152"/>
      <c r="AD81" s="203"/>
      <c r="AE81" s="203"/>
      <c r="AF81" s="152"/>
      <c r="AG81" s="152"/>
      <c r="AH81" s="152"/>
      <c r="AI81" s="202"/>
      <c r="AJ81" s="202"/>
      <c r="AK81" s="225"/>
      <c r="AL81" s="192"/>
      <c r="AM81" s="188"/>
      <c r="AN81" s="159"/>
      <c r="AO81" s="159"/>
      <c r="AP81" s="159"/>
      <c r="AQ81" s="159"/>
      <c r="AR81" s="159"/>
      <c r="AS81" s="152"/>
      <c r="AT81" s="203"/>
      <c r="AU81" s="203"/>
      <c r="AV81" s="152"/>
      <c r="AW81" s="203"/>
      <c r="AX81" s="203"/>
      <c r="AY81" s="152"/>
      <c r="AZ81" s="152"/>
      <c r="BA81" s="152"/>
      <c r="BB81" s="202"/>
      <c r="BC81" s="202"/>
      <c r="BD81" s="225"/>
      <c r="BE81" s="192"/>
      <c r="BF81" s="188"/>
      <c r="BG81" s="159"/>
      <c r="BH81" s="159"/>
      <c r="BI81" s="159"/>
      <c r="BJ81" s="159"/>
      <c r="BK81" s="159"/>
      <c r="BL81" s="152"/>
      <c r="BM81" s="203"/>
      <c r="BN81" s="203"/>
      <c r="BO81" s="152"/>
      <c r="BP81" s="203"/>
      <c r="BQ81" s="203"/>
      <c r="BR81" s="152"/>
      <c r="BS81" s="152"/>
      <c r="BT81" s="152"/>
      <c r="BU81" s="202"/>
      <c r="BV81" s="202"/>
      <c r="BW81" s="225"/>
      <c r="BX81" s="192"/>
      <c r="BY81" s="188"/>
      <c r="BZ81" s="159"/>
      <c r="CA81" s="159"/>
      <c r="CB81" s="159"/>
      <c r="CC81" s="159"/>
      <c r="CD81" s="159"/>
      <c r="CE81" s="152"/>
      <c r="CF81" s="203"/>
      <c r="CG81" s="203"/>
      <c r="CH81" s="152"/>
      <c r="CI81" s="203"/>
      <c r="CJ81" s="203"/>
      <c r="CK81" s="152"/>
      <c r="CL81" s="152"/>
      <c r="CM81" s="152"/>
      <c r="CN81" s="202"/>
      <c r="CO81" s="202"/>
      <c r="CP81" s="225"/>
      <c r="CQ81" s="192"/>
      <c r="CR81" s="188"/>
      <c r="CS81" s="159"/>
      <c r="CT81" s="159"/>
      <c r="CU81" s="159"/>
      <c r="CV81" s="159"/>
      <c r="CW81" s="159"/>
      <c r="CX81" s="152"/>
      <c r="CY81" s="203"/>
      <c r="CZ81" s="203"/>
      <c r="DA81" s="152"/>
      <c r="DB81" s="203"/>
      <c r="DC81" s="203"/>
      <c r="DD81" s="152"/>
      <c r="DE81" s="152"/>
      <c r="DF81" s="152"/>
      <c r="DG81" s="202"/>
      <c r="DH81" s="202"/>
      <c r="DI81" s="225"/>
      <c r="DJ81" s="192"/>
      <c r="DK81" s="192"/>
      <c r="DL81" s="192"/>
      <c r="DM81" s="10"/>
      <c r="DN81" s="10"/>
      <c r="DO81" s="10"/>
      <c r="DP81" s="10"/>
      <c r="DQ81" s="10"/>
      <c r="DR81" s="10"/>
    </row>
    <row r="82" spans="1:122" ht="15.75" customHeight="1">
      <c r="A82" s="188"/>
      <c r="B82" s="159"/>
      <c r="C82" s="159"/>
      <c r="D82" s="159"/>
      <c r="E82" s="159"/>
      <c r="F82" s="159"/>
      <c r="G82" s="159"/>
      <c r="H82" s="273"/>
      <c r="I82" s="273"/>
      <c r="J82" s="159"/>
      <c r="K82" s="273"/>
      <c r="L82" s="273"/>
      <c r="M82" s="159"/>
      <c r="N82" s="159"/>
      <c r="O82" s="159"/>
      <c r="P82" s="248"/>
      <c r="Q82" s="248"/>
      <c r="R82" s="225"/>
      <c r="S82" s="192"/>
      <c r="T82" s="188"/>
      <c r="U82" s="159"/>
      <c r="V82" s="159"/>
      <c r="W82" s="159"/>
      <c r="X82" s="159"/>
      <c r="Y82" s="159"/>
      <c r="Z82" s="152"/>
      <c r="AA82" s="203"/>
      <c r="AB82" s="203"/>
      <c r="AC82" s="152"/>
      <c r="AD82" s="203"/>
      <c r="AE82" s="203"/>
      <c r="AF82" s="152"/>
      <c r="AG82" s="152"/>
      <c r="AH82" s="152"/>
      <c r="AI82" s="202"/>
      <c r="AJ82" s="202"/>
      <c r="AK82" s="225"/>
      <c r="AL82" s="192"/>
      <c r="AM82" s="188"/>
      <c r="AN82" s="159"/>
      <c r="AO82" s="159"/>
      <c r="AP82" s="159"/>
      <c r="AQ82" s="159"/>
      <c r="AR82" s="159"/>
      <c r="AS82" s="152"/>
      <c r="AT82" s="203"/>
      <c r="AU82" s="203"/>
      <c r="AV82" s="152"/>
      <c r="AW82" s="203"/>
      <c r="AX82" s="203"/>
      <c r="AY82" s="152"/>
      <c r="AZ82" s="152"/>
      <c r="BA82" s="152"/>
      <c r="BB82" s="202"/>
      <c r="BC82" s="202"/>
      <c r="BD82" s="225"/>
      <c r="BE82" s="192"/>
      <c r="BF82" s="188"/>
      <c r="BG82" s="159"/>
      <c r="BH82" s="159"/>
      <c r="BI82" s="159"/>
      <c r="BJ82" s="159"/>
      <c r="BK82" s="159"/>
      <c r="BL82" s="152"/>
      <c r="BM82" s="203"/>
      <c r="BN82" s="203"/>
      <c r="BO82" s="152"/>
      <c r="BP82" s="203"/>
      <c r="BQ82" s="203"/>
      <c r="BR82" s="152"/>
      <c r="BS82" s="152"/>
      <c r="BT82" s="152"/>
      <c r="BU82" s="202"/>
      <c r="BV82" s="202"/>
      <c r="BW82" s="225"/>
      <c r="BX82" s="192"/>
      <c r="BY82" s="188"/>
      <c r="BZ82" s="159"/>
      <c r="CA82" s="159"/>
      <c r="CB82" s="159"/>
      <c r="CC82" s="159"/>
      <c r="CD82" s="159"/>
      <c r="CE82" s="152"/>
      <c r="CF82" s="203"/>
      <c r="CG82" s="203"/>
      <c r="CH82" s="152"/>
      <c r="CI82" s="203"/>
      <c r="CJ82" s="203"/>
      <c r="CK82" s="152"/>
      <c r="CL82" s="152"/>
      <c r="CM82" s="152"/>
      <c r="CN82" s="202"/>
      <c r="CO82" s="202"/>
      <c r="CP82" s="225"/>
      <c r="CQ82" s="192"/>
      <c r="CR82" s="188"/>
      <c r="CS82" s="159"/>
      <c r="CT82" s="159"/>
      <c r="CU82" s="159"/>
      <c r="CV82" s="159"/>
      <c r="CW82" s="159"/>
      <c r="CX82" s="152"/>
      <c r="CY82" s="203"/>
      <c r="CZ82" s="203"/>
      <c r="DA82" s="152"/>
      <c r="DB82" s="203"/>
      <c r="DC82" s="203"/>
      <c r="DD82" s="152"/>
      <c r="DE82" s="152"/>
      <c r="DF82" s="152"/>
      <c r="DG82" s="202"/>
      <c r="DH82" s="202"/>
      <c r="DI82" s="225"/>
      <c r="DJ82" s="192"/>
      <c r="DK82" s="192"/>
      <c r="DL82" s="192"/>
      <c r="DM82" s="10"/>
      <c r="DN82" s="10"/>
      <c r="DO82" s="10"/>
      <c r="DP82" s="10"/>
      <c r="DQ82" s="10"/>
      <c r="DR82" s="10"/>
    </row>
    <row r="83" spans="1:122" ht="15.75" customHeight="1">
      <c r="A83" s="462"/>
      <c r="B83" s="463"/>
      <c r="C83" s="463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248"/>
      <c r="Q83" s="248"/>
      <c r="R83" s="225"/>
      <c r="S83" s="192"/>
      <c r="T83" s="454"/>
      <c r="U83" s="455"/>
      <c r="V83" s="455"/>
      <c r="W83" s="159"/>
      <c r="X83" s="159"/>
      <c r="Y83" s="159"/>
      <c r="Z83" s="152"/>
      <c r="AA83" s="152"/>
      <c r="AB83" s="152"/>
      <c r="AC83" s="152"/>
      <c r="AD83" s="152"/>
      <c r="AE83" s="152"/>
      <c r="AF83" s="152"/>
      <c r="AG83" s="152"/>
      <c r="AH83" s="152"/>
      <c r="AI83" s="202"/>
      <c r="AJ83" s="202"/>
      <c r="AK83" s="225"/>
      <c r="AL83" s="192"/>
      <c r="AM83" s="454"/>
      <c r="AN83" s="455"/>
      <c r="AO83" s="455"/>
      <c r="AP83" s="159"/>
      <c r="AQ83" s="159"/>
      <c r="AR83" s="159"/>
      <c r="AS83" s="152"/>
      <c r="AT83" s="152"/>
      <c r="AU83" s="152"/>
      <c r="AV83" s="152"/>
      <c r="AW83" s="152"/>
      <c r="AX83" s="152"/>
      <c r="AY83" s="152"/>
      <c r="AZ83" s="152"/>
      <c r="BA83" s="152"/>
      <c r="BB83" s="202"/>
      <c r="BC83" s="202"/>
      <c r="BD83" s="225"/>
      <c r="BE83" s="192"/>
      <c r="BF83" s="454"/>
      <c r="BG83" s="455"/>
      <c r="BH83" s="455"/>
      <c r="BI83" s="159"/>
      <c r="BJ83" s="159"/>
      <c r="BK83" s="159"/>
      <c r="BL83" s="152"/>
      <c r="BM83" s="152"/>
      <c r="BN83" s="152"/>
      <c r="BO83" s="152"/>
      <c r="BP83" s="152"/>
      <c r="BQ83" s="152"/>
      <c r="BR83" s="152"/>
      <c r="BS83" s="152"/>
      <c r="BT83" s="152"/>
      <c r="BU83" s="202"/>
      <c r="BV83" s="202"/>
      <c r="BW83" s="225"/>
      <c r="BX83" s="192"/>
      <c r="BY83" s="454"/>
      <c r="BZ83" s="455"/>
      <c r="CA83" s="455"/>
      <c r="CB83" s="159"/>
      <c r="CC83" s="159"/>
      <c r="CD83" s="159"/>
      <c r="CE83" s="152"/>
      <c r="CF83" s="152"/>
      <c r="CG83" s="152"/>
      <c r="CH83" s="152"/>
      <c r="CI83" s="152"/>
      <c r="CJ83" s="152"/>
      <c r="CK83" s="152"/>
      <c r="CL83" s="152"/>
      <c r="CM83" s="152"/>
      <c r="CN83" s="202"/>
      <c r="CO83" s="202"/>
      <c r="CP83" s="225"/>
      <c r="CQ83" s="192"/>
      <c r="CR83" s="454"/>
      <c r="CS83" s="455"/>
      <c r="CT83" s="455"/>
      <c r="CU83" s="159"/>
      <c r="CV83" s="159"/>
      <c r="CW83" s="159"/>
      <c r="CX83" s="152"/>
      <c r="CY83" s="152"/>
      <c r="CZ83" s="152"/>
      <c r="DA83" s="152"/>
      <c r="DB83" s="152"/>
      <c r="DC83" s="152"/>
      <c r="DD83" s="152"/>
      <c r="DE83" s="152"/>
      <c r="DF83" s="152"/>
      <c r="DG83" s="202"/>
      <c r="DH83" s="202"/>
      <c r="DI83" s="225"/>
      <c r="DJ83" s="192"/>
      <c r="DK83" s="192"/>
      <c r="DL83" s="192"/>
      <c r="DM83" s="10"/>
      <c r="DN83" s="10"/>
      <c r="DO83" s="10"/>
      <c r="DP83" s="10"/>
      <c r="DQ83" s="10"/>
      <c r="DR83" s="10"/>
    </row>
    <row r="84" spans="1:122" ht="15.75" customHeight="1">
      <c r="A84" s="293"/>
      <c r="B84" s="295"/>
      <c r="C84" s="295"/>
      <c r="D84" s="159"/>
      <c r="E84" s="273"/>
      <c r="F84" s="273"/>
      <c r="G84" s="159"/>
      <c r="H84" s="159"/>
      <c r="I84" s="159"/>
      <c r="J84" s="159"/>
      <c r="K84" s="159"/>
      <c r="L84" s="159"/>
      <c r="M84" s="159"/>
      <c r="N84" s="159"/>
      <c r="O84" s="159"/>
      <c r="P84" s="248"/>
      <c r="Q84" s="248"/>
      <c r="R84" s="225"/>
      <c r="S84" s="192"/>
      <c r="T84" s="240"/>
      <c r="U84" s="204"/>
      <c r="V84" s="204"/>
      <c r="W84" s="159"/>
      <c r="X84" s="203"/>
      <c r="Y84" s="203"/>
      <c r="Z84" s="152"/>
      <c r="AA84" s="152"/>
      <c r="AB84" s="152"/>
      <c r="AC84" s="152"/>
      <c r="AD84" s="152"/>
      <c r="AE84" s="152"/>
      <c r="AF84" s="152"/>
      <c r="AG84" s="152"/>
      <c r="AH84" s="152"/>
      <c r="AI84" s="202"/>
      <c r="AJ84" s="202"/>
      <c r="AK84" s="225"/>
      <c r="AL84" s="192"/>
      <c r="AM84" s="240"/>
      <c r="AN84" s="204"/>
      <c r="AO84" s="204"/>
      <c r="AP84" s="159"/>
      <c r="AQ84" s="203"/>
      <c r="AR84" s="203"/>
      <c r="AS84" s="152"/>
      <c r="AT84" s="152"/>
      <c r="AU84" s="152"/>
      <c r="AV84" s="152"/>
      <c r="AW84" s="152"/>
      <c r="AX84" s="152"/>
      <c r="AY84" s="152"/>
      <c r="AZ84" s="152"/>
      <c r="BA84" s="152"/>
      <c r="BB84" s="202"/>
      <c r="BC84" s="202"/>
      <c r="BD84" s="225"/>
      <c r="BE84" s="192"/>
      <c r="BF84" s="240"/>
      <c r="BG84" s="204"/>
      <c r="BH84" s="204"/>
      <c r="BI84" s="159"/>
      <c r="BJ84" s="203"/>
      <c r="BK84" s="203"/>
      <c r="BL84" s="152"/>
      <c r="BM84" s="152"/>
      <c r="BN84" s="152"/>
      <c r="BO84" s="152"/>
      <c r="BP84" s="152"/>
      <c r="BQ84" s="152"/>
      <c r="BR84" s="152"/>
      <c r="BS84" s="152"/>
      <c r="BT84" s="152"/>
      <c r="BU84" s="202"/>
      <c r="BV84" s="202"/>
      <c r="BW84" s="225"/>
      <c r="BX84" s="192"/>
      <c r="BY84" s="240"/>
      <c r="BZ84" s="204"/>
      <c r="CA84" s="204"/>
      <c r="CB84" s="159"/>
      <c r="CC84" s="203"/>
      <c r="CD84" s="203"/>
      <c r="CE84" s="152"/>
      <c r="CF84" s="152"/>
      <c r="CG84" s="152"/>
      <c r="CH84" s="152"/>
      <c r="CI84" s="152"/>
      <c r="CJ84" s="152"/>
      <c r="CK84" s="152"/>
      <c r="CL84" s="152"/>
      <c r="CM84" s="152"/>
      <c r="CN84" s="202"/>
      <c r="CO84" s="202"/>
      <c r="CP84" s="225"/>
      <c r="CQ84" s="192"/>
      <c r="CR84" s="240"/>
      <c r="CS84" s="204"/>
      <c r="CT84" s="204"/>
      <c r="CU84" s="159"/>
      <c r="CV84" s="203"/>
      <c r="CW84" s="203"/>
      <c r="CX84" s="152"/>
      <c r="CY84" s="152"/>
      <c r="CZ84" s="152"/>
      <c r="DA84" s="152"/>
      <c r="DB84" s="152"/>
      <c r="DC84" s="152"/>
      <c r="DD84" s="152"/>
      <c r="DE84" s="152"/>
      <c r="DF84" s="152"/>
      <c r="DG84" s="202"/>
      <c r="DH84" s="202"/>
      <c r="DI84" s="225"/>
      <c r="DJ84" s="192"/>
      <c r="DK84" s="192"/>
      <c r="DL84" s="192"/>
      <c r="DM84" s="10"/>
      <c r="DN84" s="10"/>
      <c r="DO84" s="10"/>
      <c r="DP84" s="10"/>
      <c r="DQ84" s="10"/>
      <c r="DR84" s="10"/>
    </row>
    <row r="85" spans="1:122" ht="15.75" customHeight="1">
      <c r="A85" s="188"/>
      <c r="B85" s="159"/>
      <c r="C85" s="159"/>
      <c r="D85" s="159"/>
      <c r="E85" s="273"/>
      <c r="F85" s="273"/>
      <c r="G85" s="159"/>
      <c r="H85" s="159"/>
      <c r="I85" s="159"/>
      <c r="J85" s="159"/>
      <c r="K85" s="159"/>
      <c r="L85" s="159"/>
      <c r="M85" s="159"/>
      <c r="N85" s="159"/>
      <c r="O85" s="159"/>
      <c r="P85" s="248"/>
      <c r="Q85" s="248"/>
      <c r="R85" s="225"/>
      <c r="S85" s="192"/>
      <c r="T85" s="241"/>
      <c r="U85" s="159"/>
      <c r="V85" s="152"/>
      <c r="W85" s="159"/>
      <c r="X85" s="203"/>
      <c r="Y85" s="203"/>
      <c r="Z85" s="152"/>
      <c r="AA85" s="152"/>
      <c r="AB85" s="152"/>
      <c r="AC85" s="152"/>
      <c r="AD85" s="152"/>
      <c r="AE85" s="152"/>
      <c r="AF85" s="152"/>
      <c r="AG85" s="152"/>
      <c r="AH85" s="152"/>
      <c r="AI85" s="202"/>
      <c r="AJ85" s="202"/>
      <c r="AK85" s="225"/>
      <c r="AL85" s="192"/>
      <c r="AM85" s="241"/>
      <c r="AN85" s="159"/>
      <c r="AO85" s="152"/>
      <c r="AP85" s="159"/>
      <c r="AQ85" s="203"/>
      <c r="AR85" s="203"/>
      <c r="AS85" s="152"/>
      <c r="AT85" s="152"/>
      <c r="AU85" s="152"/>
      <c r="AV85" s="152"/>
      <c r="AW85" s="152"/>
      <c r="AX85" s="152"/>
      <c r="AY85" s="152"/>
      <c r="AZ85" s="152"/>
      <c r="BA85" s="152"/>
      <c r="BB85" s="202"/>
      <c r="BC85" s="202"/>
      <c r="BD85" s="225"/>
      <c r="BE85" s="192"/>
      <c r="BF85" s="241"/>
      <c r="BG85" s="159"/>
      <c r="BH85" s="152"/>
      <c r="BI85" s="159"/>
      <c r="BJ85" s="203"/>
      <c r="BK85" s="203"/>
      <c r="BL85" s="152"/>
      <c r="BM85" s="152"/>
      <c r="BN85" s="152"/>
      <c r="BO85" s="152"/>
      <c r="BP85" s="152"/>
      <c r="BQ85" s="152"/>
      <c r="BR85" s="152"/>
      <c r="BS85" s="152"/>
      <c r="BT85" s="152"/>
      <c r="BU85" s="202"/>
      <c r="BV85" s="202"/>
      <c r="BW85" s="225"/>
      <c r="BX85" s="192"/>
      <c r="BY85" s="241"/>
      <c r="BZ85" s="159"/>
      <c r="CA85" s="152"/>
      <c r="CB85" s="159"/>
      <c r="CC85" s="203"/>
      <c r="CD85" s="203"/>
      <c r="CE85" s="152"/>
      <c r="CF85" s="152"/>
      <c r="CG85" s="152"/>
      <c r="CH85" s="152"/>
      <c r="CI85" s="152"/>
      <c r="CJ85" s="152"/>
      <c r="CK85" s="152"/>
      <c r="CL85" s="152"/>
      <c r="CM85" s="152"/>
      <c r="CN85" s="202"/>
      <c r="CO85" s="202"/>
      <c r="CP85" s="225"/>
      <c r="CQ85" s="192"/>
      <c r="CR85" s="241"/>
      <c r="CS85" s="159"/>
      <c r="CT85" s="152"/>
      <c r="CU85" s="159"/>
      <c r="CV85" s="203"/>
      <c r="CW85" s="203"/>
      <c r="CX85" s="152"/>
      <c r="CY85" s="152"/>
      <c r="CZ85" s="152"/>
      <c r="DA85" s="152"/>
      <c r="DB85" s="152"/>
      <c r="DC85" s="152"/>
      <c r="DD85" s="152"/>
      <c r="DE85" s="152"/>
      <c r="DF85" s="152"/>
      <c r="DG85" s="202"/>
      <c r="DH85" s="202"/>
      <c r="DI85" s="225"/>
      <c r="DJ85" s="192"/>
      <c r="DK85" s="192"/>
      <c r="DL85" s="192"/>
      <c r="DM85" s="10"/>
      <c r="DN85" s="10"/>
      <c r="DO85" s="10"/>
      <c r="DP85" s="10"/>
      <c r="DQ85" s="10"/>
      <c r="DR85" s="10"/>
    </row>
    <row r="86" spans="1:122" ht="15.75" customHeight="1">
      <c r="A86" s="188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248"/>
      <c r="Q86" s="248"/>
      <c r="R86" s="225"/>
      <c r="S86" s="192"/>
      <c r="T86" s="241"/>
      <c r="U86" s="159"/>
      <c r="V86" s="152"/>
      <c r="W86" s="159"/>
      <c r="X86" s="159"/>
      <c r="Y86" s="159"/>
      <c r="Z86" s="152"/>
      <c r="AA86" s="152"/>
      <c r="AB86" s="152"/>
      <c r="AC86" s="152"/>
      <c r="AD86" s="152"/>
      <c r="AE86" s="152"/>
      <c r="AF86" s="152"/>
      <c r="AG86" s="152"/>
      <c r="AH86" s="152"/>
      <c r="AI86" s="202"/>
      <c r="AJ86" s="202"/>
      <c r="AK86" s="225"/>
      <c r="AL86" s="192"/>
      <c r="AM86" s="241"/>
      <c r="AN86" s="159"/>
      <c r="AO86" s="152"/>
      <c r="AP86" s="159"/>
      <c r="AQ86" s="159"/>
      <c r="AR86" s="159"/>
      <c r="AS86" s="152"/>
      <c r="AT86" s="152"/>
      <c r="AU86" s="152"/>
      <c r="AV86" s="152"/>
      <c r="AW86" s="152"/>
      <c r="AX86" s="152"/>
      <c r="AY86" s="152"/>
      <c r="AZ86" s="152"/>
      <c r="BA86" s="152"/>
      <c r="BB86" s="202"/>
      <c r="BC86" s="202"/>
      <c r="BD86" s="225"/>
      <c r="BE86" s="192"/>
      <c r="BF86" s="241"/>
      <c r="BG86" s="159"/>
      <c r="BH86" s="152"/>
      <c r="BI86" s="159"/>
      <c r="BJ86" s="159"/>
      <c r="BK86" s="159"/>
      <c r="BL86" s="152"/>
      <c r="BM86" s="152"/>
      <c r="BN86" s="152"/>
      <c r="BO86" s="152"/>
      <c r="BP86" s="152"/>
      <c r="BQ86" s="152"/>
      <c r="BR86" s="152"/>
      <c r="BS86" s="152"/>
      <c r="BT86" s="152"/>
      <c r="BU86" s="202"/>
      <c r="BV86" s="202"/>
      <c r="BW86" s="225"/>
      <c r="BX86" s="192"/>
      <c r="BY86" s="241"/>
      <c r="BZ86" s="159"/>
      <c r="CA86" s="152"/>
      <c r="CB86" s="159"/>
      <c r="CC86" s="159"/>
      <c r="CD86" s="159"/>
      <c r="CE86" s="152"/>
      <c r="CF86" s="152"/>
      <c r="CG86" s="152"/>
      <c r="CH86" s="152"/>
      <c r="CI86" s="152"/>
      <c r="CJ86" s="152"/>
      <c r="CK86" s="152"/>
      <c r="CL86" s="152"/>
      <c r="CM86" s="152"/>
      <c r="CN86" s="202"/>
      <c r="CO86" s="202"/>
      <c r="CP86" s="225"/>
      <c r="CQ86" s="192"/>
      <c r="CR86" s="241"/>
      <c r="CS86" s="159"/>
      <c r="CT86" s="152"/>
      <c r="CU86" s="159"/>
      <c r="CV86" s="159"/>
      <c r="CW86" s="159"/>
      <c r="CX86" s="152"/>
      <c r="CY86" s="152"/>
      <c r="CZ86" s="152"/>
      <c r="DA86" s="152"/>
      <c r="DB86" s="152"/>
      <c r="DC86" s="152"/>
      <c r="DD86" s="152"/>
      <c r="DE86" s="152"/>
      <c r="DF86" s="152"/>
      <c r="DG86" s="202"/>
      <c r="DH86" s="202"/>
      <c r="DI86" s="225"/>
      <c r="DJ86" s="192"/>
      <c r="DK86" s="192"/>
      <c r="DL86" s="192"/>
      <c r="DM86" s="10"/>
      <c r="DN86" s="10"/>
      <c r="DO86" s="10"/>
      <c r="DP86" s="10"/>
      <c r="DQ86" s="10"/>
      <c r="DR86" s="10"/>
    </row>
    <row r="87" spans="1:122" ht="15.75" customHeight="1" thickBot="1">
      <c r="A87" s="297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298"/>
      <c r="Q87" s="298"/>
      <c r="R87" s="244"/>
      <c r="S87" s="192"/>
      <c r="T87" s="242"/>
      <c r="U87" s="189"/>
      <c r="V87" s="190"/>
      <c r="W87" s="189"/>
      <c r="X87" s="189"/>
      <c r="Y87" s="189"/>
      <c r="Z87" s="190"/>
      <c r="AA87" s="190"/>
      <c r="AB87" s="190"/>
      <c r="AC87" s="190"/>
      <c r="AD87" s="190"/>
      <c r="AE87" s="190"/>
      <c r="AF87" s="190"/>
      <c r="AG87" s="190"/>
      <c r="AH87" s="190"/>
      <c r="AI87" s="243"/>
      <c r="AJ87" s="243"/>
      <c r="AK87" s="244"/>
      <c r="AL87" s="192"/>
      <c r="AM87" s="242"/>
      <c r="AN87" s="189"/>
      <c r="AO87" s="190"/>
      <c r="AP87" s="189"/>
      <c r="AQ87" s="189"/>
      <c r="AR87" s="189"/>
      <c r="AS87" s="190"/>
      <c r="AT87" s="190"/>
      <c r="AU87" s="190"/>
      <c r="AV87" s="190"/>
      <c r="AW87" s="190"/>
      <c r="AX87" s="190"/>
      <c r="AY87" s="190"/>
      <c r="AZ87" s="190"/>
      <c r="BA87" s="190"/>
      <c r="BB87" s="243"/>
      <c r="BC87" s="243"/>
      <c r="BD87" s="244"/>
      <c r="BE87" s="192"/>
      <c r="BF87" s="242"/>
      <c r="BG87" s="189"/>
      <c r="BH87" s="190"/>
      <c r="BI87" s="189"/>
      <c r="BJ87" s="189"/>
      <c r="BK87" s="189"/>
      <c r="BL87" s="190"/>
      <c r="BM87" s="190"/>
      <c r="BN87" s="190"/>
      <c r="BO87" s="190"/>
      <c r="BP87" s="190"/>
      <c r="BQ87" s="190"/>
      <c r="BR87" s="190"/>
      <c r="BS87" s="190"/>
      <c r="BT87" s="190"/>
      <c r="BU87" s="243"/>
      <c r="BV87" s="243"/>
      <c r="BW87" s="244"/>
      <c r="BX87" s="192"/>
      <c r="BY87" s="242"/>
      <c r="BZ87" s="189"/>
      <c r="CA87" s="190"/>
      <c r="CB87" s="189"/>
      <c r="CC87" s="189"/>
      <c r="CD87" s="189"/>
      <c r="CE87" s="190"/>
      <c r="CF87" s="190"/>
      <c r="CG87" s="190"/>
      <c r="CH87" s="190"/>
      <c r="CI87" s="190"/>
      <c r="CJ87" s="190"/>
      <c r="CK87" s="190"/>
      <c r="CL87" s="190"/>
      <c r="CM87" s="190"/>
      <c r="CN87" s="243"/>
      <c r="CO87" s="243"/>
      <c r="CP87" s="244"/>
      <c r="CQ87" s="192"/>
      <c r="CR87" s="242"/>
      <c r="CS87" s="189"/>
      <c r="CT87" s="190"/>
      <c r="CU87" s="189"/>
      <c r="CV87" s="189"/>
      <c r="CW87" s="189"/>
      <c r="CX87" s="190"/>
      <c r="CY87" s="190"/>
      <c r="CZ87" s="190"/>
      <c r="DA87" s="190"/>
      <c r="DB87" s="190"/>
      <c r="DC87" s="190"/>
      <c r="DD87" s="190"/>
      <c r="DE87" s="190"/>
      <c r="DF87" s="190"/>
      <c r="DG87" s="243"/>
      <c r="DH87" s="243"/>
      <c r="DI87" s="244"/>
      <c r="DJ87" s="192"/>
      <c r="DK87" s="192"/>
      <c r="DL87" s="192"/>
      <c r="DM87" s="10"/>
      <c r="DN87" s="10"/>
      <c r="DO87" s="10"/>
      <c r="DP87" s="10"/>
      <c r="DQ87" s="10"/>
      <c r="DR87" s="10"/>
    </row>
    <row r="88" spans="1:122" ht="15.75" customHeight="1">
      <c r="A88" s="209"/>
      <c r="B88" s="160"/>
      <c r="C88" s="160"/>
      <c r="D88" s="160"/>
      <c r="E88" s="209"/>
      <c r="F88" s="160"/>
      <c r="G88" s="160"/>
      <c r="H88" s="209"/>
      <c r="I88" s="160"/>
      <c r="J88" s="160"/>
      <c r="K88" s="209"/>
      <c r="L88" s="160"/>
      <c r="M88" s="160"/>
      <c r="N88" s="160"/>
      <c r="O88" s="160"/>
      <c r="P88" s="160"/>
      <c r="Q88" s="160"/>
      <c r="R88" s="192"/>
      <c r="S88" s="192"/>
      <c r="T88" s="209"/>
      <c r="U88" s="160"/>
      <c r="V88" s="160"/>
      <c r="W88" s="160"/>
      <c r="X88" s="209"/>
      <c r="Y88" s="160"/>
      <c r="Z88" s="192"/>
      <c r="AA88" s="209"/>
      <c r="AB88" s="160"/>
      <c r="AC88" s="192"/>
      <c r="AD88" s="209"/>
      <c r="AE88" s="160"/>
      <c r="AF88" s="192"/>
      <c r="AG88" s="192"/>
      <c r="AH88" s="192"/>
      <c r="AI88" s="192"/>
      <c r="AJ88" s="192"/>
      <c r="AK88" s="192"/>
      <c r="AL88" s="192"/>
      <c r="AM88" s="209"/>
      <c r="AN88" s="206"/>
      <c r="AO88" s="160"/>
      <c r="AP88" s="160"/>
      <c r="AQ88" s="209"/>
      <c r="AR88" s="160"/>
      <c r="AS88" s="192"/>
      <c r="AT88" s="209"/>
      <c r="AU88" s="160"/>
      <c r="AV88" s="192"/>
      <c r="AW88" s="209"/>
      <c r="AX88" s="160"/>
      <c r="AY88" s="192"/>
      <c r="AZ88" s="192"/>
      <c r="BA88" s="192"/>
      <c r="BB88" s="192"/>
      <c r="BC88" s="192"/>
      <c r="BD88" s="192"/>
      <c r="BE88" s="192"/>
      <c r="BF88" s="209"/>
      <c r="BG88" s="206"/>
      <c r="BH88" s="160"/>
      <c r="BI88" s="160"/>
      <c r="BJ88" s="209"/>
      <c r="BK88" s="206"/>
      <c r="BL88" s="192"/>
      <c r="BM88" s="209"/>
      <c r="BN88" s="207"/>
      <c r="BO88" s="192"/>
      <c r="BP88" s="209"/>
      <c r="BQ88" s="206"/>
      <c r="BR88" s="192"/>
      <c r="BS88" s="192"/>
      <c r="BT88" s="192"/>
      <c r="BU88" s="192"/>
      <c r="BV88" s="192"/>
      <c r="BW88" s="192"/>
      <c r="BX88" s="192"/>
      <c r="BY88" s="209"/>
      <c r="BZ88" s="206"/>
      <c r="CA88" s="160"/>
      <c r="CB88" s="160"/>
      <c r="CC88" s="210"/>
      <c r="CD88" s="206"/>
      <c r="CE88" s="206"/>
      <c r="CF88" s="210"/>
      <c r="CG88" s="206"/>
      <c r="CH88" s="206"/>
      <c r="CI88" s="210"/>
      <c r="CJ88" s="206"/>
      <c r="CK88" s="206"/>
      <c r="CL88" s="206"/>
      <c r="CM88" s="206"/>
      <c r="CN88" s="206"/>
      <c r="CO88" s="206"/>
      <c r="CP88" s="206"/>
      <c r="CQ88" s="192"/>
      <c r="CR88" s="209"/>
      <c r="CS88" s="206"/>
      <c r="CT88" s="160"/>
      <c r="CU88" s="160"/>
      <c r="CV88" s="209"/>
      <c r="CW88" s="160"/>
      <c r="CX88" s="192"/>
      <c r="CY88" s="209"/>
      <c r="CZ88" s="160"/>
      <c r="DA88" s="192"/>
      <c r="DB88" s="209"/>
      <c r="DC88" s="160"/>
      <c r="DD88" s="192"/>
      <c r="DE88" s="192"/>
      <c r="DF88" s="192"/>
      <c r="DG88" s="205"/>
      <c r="DH88" s="205"/>
      <c r="DI88" s="205"/>
      <c r="DJ88" s="192"/>
      <c r="DK88" s="192"/>
      <c r="DL88" s="192"/>
      <c r="DM88" s="10"/>
      <c r="DN88" s="10"/>
      <c r="DO88" s="10"/>
      <c r="DP88" s="10"/>
      <c r="DQ88" s="10"/>
      <c r="DR88" s="10"/>
    </row>
    <row r="89" spans="1:122" ht="15.75" customHeight="1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92"/>
      <c r="S89" s="192"/>
      <c r="T89" s="160"/>
      <c r="U89" s="160"/>
      <c r="V89" s="160"/>
      <c r="W89" s="160"/>
      <c r="X89" s="160"/>
      <c r="Y89" s="160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60"/>
      <c r="AN89" s="206"/>
      <c r="AO89" s="160"/>
      <c r="AP89" s="160"/>
      <c r="AQ89" s="160"/>
      <c r="AR89" s="160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60"/>
      <c r="BG89" s="160"/>
      <c r="BH89" s="160"/>
      <c r="BI89" s="160"/>
      <c r="BJ89" s="160"/>
      <c r="BK89" s="160"/>
      <c r="BL89" s="192"/>
      <c r="BM89" s="192"/>
      <c r="BN89" s="192"/>
      <c r="BO89" s="192"/>
      <c r="BP89" s="192"/>
      <c r="BQ89" s="192"/>
      <c r="BR89" s="192"/>
      <c r="BS89" s="192"/>
      <c r="BT89" s="192"/>
      <c r="BU89" s="192"/>
      <c r="BV89" s="192"/>
      <c r="BW89" s="192"/>
      <c r="BX89" s="192"/>
      <c r="BY89" s="160"/>
      <c r="BZ89" s="160"/>
      <c r="CA89" s="160"/>
      <c r="CB89" s="160"/>
      <c r="CC89" s="160"/>
      <c r="CD89" s="160"/>
      <c r="CE89" s="192"/>
      <c r="CF89" s="192"/>
      <c r="CG89" s="192"/>
      <c r="CH89" s="192"/>
      <c r="CI89" s="192"/>
      <c r="CJ89" s="192"/>
      <c r="CK89" s="192"/>
      <c r="CL89" s="192"/>
      <c r="CM89" s="192"/>
      <c r="CN89" s="192"/>
      <c r="CO89" s="192"/>
      <c r="CP89" s="192"/>
      <c r="CQ89" s="192"/>
      <c r="CR89" s="160"/>
      <c r="CS89" s="160"/>
      <c r="CT89" s="160"/>
      <c r="CU89" s="160"/>
      <c r="CV89" s="160"/>
      <c r="CW89" s="160"/>
      <c r="CX89" s="192"/>
      <c r="CY89" s="192"/>
      <c r="CZ89" s="192"/>
      <c r="DA89" s="192"/>
      <c r="DB89" s="192"/>
      <c r="DC89" s="192"/>
      <c r="DD89" s="192"/>
      <c r="DE89" s="192"/>
      <c r="DF89" s="192"/>
      <c r="DG89" s="205"/>
      <c r="DH89" s="205"/>
      <c r="DI89" s="205"/>
      <c r="DJ89" s="192"/>
      <c r="DK89" s="192"/>
      <c r="DL89" s="192"/>
      <c r="DM89" s="10"/>
      <c r="DN89" s="10"/>
      <c r="DO89" s="10"/>
      <c r="DP89" s="10"/>
      <c r="DQ89" s="10"/>
      <c r="DR89" s="10"/>
    </row>
    <row r="90" spans="1:122" ht="15.75" customHeight="1">
      <c r="A90" s="160"/>
      <c r="B90" s="160"/>
      <c r="C90" s="160"/>
      <c r="D90" s="160"/>
      <c r="E90" s="160"/>
      <c r="F90" s="478"/>
      <c r="G90" s="48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92"/>
      <c r="S90" s="192"/>
      <c r="T90" s="160"/>
      <c r="U90" s="160"/>
      <c r="V90" s="160"/>
      <c r="W90" s="160"/>
      <c r="X90" s="160"/>
      <c r="Y90" s="478"/>
      <c r="Z90" s="479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60"/>
      <c r="AN90" s="206"/>
      <c r="AO90" s="160"/>
      <c r="AP90" s="160"/>
      <c r="AQ90" s="160"/>
      <c r="AR90" s="478"/>
      <c r="AS90" s="479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60"/>
      <c r="BG90" s="160"/>
      <c r="BH90" s="160"/>
      <c r="BI90" s="160"/>
      <c r="BJ90" s="160"/>
      <c r="BK90" s="478"/>
      <c r="BL90" s="479"/>
      <c r="BM90" s="192"/>
      <c r="BN90" s="192"/>
      <c r="BO90" s="192"/>
      <c r="BP90" s="192"/>
      <c r="BQ90" s="192"/>
      <c r="BR90" s="192"/>
      <c r="BS90" s="192"/>
      <c r="BT90" s="192"/>
      <c r="BU90" s="192"/>
      <c r="BV90" s="192"/>
      <c r="BW90" s="192"/>
      <c r="BX90" s="192"/>
      <c r="BY90" s="160"/>
      <c r="BZ90" s="160"/>
      <c r="CA90" s="160"/>
      <c r="CB90" s="160"/>
      <c r="CC90" s="160"/>
      <c r="CD90" s="478"/>
      <c r="CE90" s="479"/>
      <c r="CF90" s="192"/>
      <c r="CG90" s="192"/>
      <c r="CH90" s="192"/>
      <c r="CI90" s="192"/>
      <c r="CJ90" s="192"/>
      <c r="CK90" s="192"/>
      <c r="CL90" s="192"/>
      <c r="CM90" s="192"/>
      <c r="CN90" s="192"/>
      <c r="CO90" s="192"/>
      <c r="CP90" s="192"/>
      <c r="CQ90" s="192"/>
      <c r="CR90" s="160"/>
      <c r="CS90" s="160"/>
      <c r="CT90" s="160"/>
      <c r="CU90" s="160"/>
      <c r="CV90" s="160"/>
      <c r="CW90" s="478"/>
      <c r="CX90" s="479"/>
      <c r="CY90" s="192"/>
      <c r="CZ90" s="192"/>
      <c r="DA90" s="192"/>
      <c r="DB90" s="192"/>
      <c r="DC90" s="192"/>
      <c r="DD90" s="192"/>
      <c r="DE90" s="192"/>
      <c r="DF90" s="192"/>
      <c r="DG90" s="205"/>
      <c r="DH90" s="205"/>
      <c r="DI90" s="205"/>
      <c r="DJ90" s="192"/>
      <c r="DK90" s="192"/>
      <c r="DL90" s="192"/>
      <c r="DM90" s="10"/>
      <c r="DN90" s="10"/>
      <c r="DO90" s="10"/>
      <c r="DP90" s="10"/>
      <c r="DQ90" s="10"/>
      <c r="DR90" s="10"/>
    </row>
    <row r="91" spans="1:122" ht="15.75" customHeight="1">
      <c r="A91" s="160"/>
      <c r="B91" s="160"/>
      <c r="C91" s="160"/>
      <c r="D91" s="160"/>
      <c r="E91" s="191"/>
      <c r="F91" s="160"/>
      <c r="G91" s="160"/>
      <c r="H91" s="191"/>
      <c r="I91" s="160"/>
      <c r="J91" s="160"/>
      <c r="K91" s="191"/>
      <c r="L91" s="160"/>
      <c r="M91" s="160"/>
      <c r="N91" s="160"/>
      <c r="O91" s="160"/>
      <c r="P91" s="160"/>
      <c r="Q91" s="160"/>
      <c r="R91" s="192"/>
      <c r="S91" s="192"/>
      <c r="T91" s="160"/>
      <c r="U91" s="160"/>
      <c r="V91" s="160"/>
      <c r="W91" s="160"/>
      <c r="X91" s="191"/>
      <c r="Y91" s="160"/>
      <c r="Z91" s="192"/>
      <c r="AA91" s="193"/>
      <c r="AB91" s="192"/>
      <c r="AC91" s="192"/>
      <c r="AD91" s="193"/>
      <c r="AE91" s="192"/>
      <c r="AF91" s="192"/>
      <c r="AG91" s="192"/>
      <c r="AH91" s="192"/>
      <c r="AI91" s="192"/>
      <c r="AJ91" s="192"/>
      <c r="AK91" s="192"/>
      <c r="AL91" s="192"/>
      <c r="AM91" s="160"/>
      <c r="AN91" s="206"/>
      <c r="AO91" s="160"/>
      <c r="AP91" s="160"/>
      <c r="AQ91" s="191"/>
      <c r="AR91" s="160"/>
      <c r="AS91" s="192"/>
      <c r="AT91" s="193"/>
      <c r="AU91" s="192"/>
      <c r="AV91" s="192"/>
      <c r="AW91" s="193"/>
      <c r="AX91" s="192"/>
      <c r="AY91" s="192"/>
      <c r="AZ91" s="192"/>
      <c r="BA91" s="192"/>
      <c r="BB91" s="192"/>
      <c r="BC91" s="192"/>
      <c r="BD91" s="192"/>
      <c r="BE91" s="192"/>
      <c r="BF91" s="160"/>
      <c r="BG91" s="160"/>
      <c r="BH91" s="160"/>
      <c r="BI91" s="160"/>
      <c r="BJ91" s="191"/>
      <c r="BK91" s="160"/>
      <c r="BL91" s="192"/>
      <c r="BM91" s="193"/>
      <c r="BN91" s="192"/>
      <c r="BO91" s="192"/>
      <c r="BP91" s="193"/>
      <c r="BQ91" s="192"/>
      <c r="BR91" s="192"/>
      <c r="BS91" s="192"/>
      <c r="BT91" s="192"/>
      <c r="BU91" s="192"/>
      <c r="BV91" s="192"/>
      <c r="BW91" s="192"/>
      <c r="BX91" s="192"/>
      <c r="BY91" s="160"/>
      <c r="BZ91" s="160"/>
      <c r="CA91" s="160"/>
      <c r="CB91" s="160"/>
      <c r="CC91" s="191"/>
      <c r="CD91" s="160"/>
      <c r="CE91" s="192"/>
      <c r="CF91" s="193"/>
      <c r="CG91" s="192"/>
      <c r="CH91" s="192"/>
      <c r="CI91" s="193"/>
      <c r="CJ91" s="192"/>
      <c r="CK91" s="192"/>
      <c r="CL91" s="192"/>
      <c r="CM91" s="192"/>
      <c r="CN91" s="192"/>
      <c r="CO91" s="192"/>
      <c r="CP91" s="192"/>
      <c r="CQ91" s="192"/>
      <c r="CR91" s="160"/>
      <c r="CS91" s="160"/>
      <c r="CT91" s="160"/>
      <c r="CU91" s="160"/>
      <c r="CV91" s="191"/>
      <c r="CW91" s="160"/>
      <c r="CX91" s="192"/>
      <c r="CY91" s="193"/>
      <c r="CZ91" s="192"/>
      <c r="DA91" s="192"/>
      <c r="DB91" s="193"/>
      <c r="DC91" s="192"/>
      <c r="DD91" s="192"/>
      <c r="DE91" s="192"/>
      <c r="DF91" s="192"/>
      <c r="DG91" s="205"/>
      <c r="DH91" s="205"/>
      <c r="DI91" s="205"/>
      <c r="DJ91" s="192"/>
      <c r="DK91" s="192"/>
      <c r="DL91" s="192"/>
      <c r="DM91" s="10"/>
      <c r="DN91" s="10"/>
      <c r="DO91" s="10"/>
      <c r="DP91" s="10"/>
      <c r="DQ91" s="10"/>
      <c r="DR91" s="10"/>
    </row>
    <row r="92" spans="1:122" ht="15.75" customHeight="1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92"/>
      <c r="S92" s="192"/>
      <c r="T92" s="160"/>
      <c r="U92" s="160"/>
      <c r="V92" s="160"/>
      <c r="W92" s="160"/>
      <c r="X92" s="160"/>
      <c r="Y92" s="160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60"/>
      <c r="AN92" s="206"/>
      <c r="AO92" s="160"/>
      <c r="AP92" s="160"/>
      <c r="AQ92" s="160"/>
      <c r="AR92" s="206"/>
      <c r="AS92" s="192"/>
      <c r="AT92" s="192"/>
      <c r="AU92" s="206"/>
      <c r="AV92" s="192"/>
      <c r="AW92" s="192"/>
      <c r="AX92" s="206"/>
      <c r="AY92" s="192"/>
      <c r="AZ92" s="192"/>
      <c r="BA92" s="192"/>
      <c r="BB92" s="192"/>
      <c r="BC92" s="192"/>
      <c r="BD92" s="192"/>
      <c r="BE92" s="192"/>
      <c r="BF92" s="160"/>
      <c r="BG92" s="206"/>
      <c r="BH92" s="160"/>
      <c r="BI92" s="160"/>
      <c r="BJ92" s="160"/>
      <c r="BK92" s="206"/>
      <c r="BL92" s="192"/>
      <c r="BM92" s="192"/>
      <c r="BN92" s="206"/>
      <c r="BO92" s="192"/>
      <c r="BP92" s="192"/>
      <c r="BQ92" s="206"/>
      <c r="BR92" s="192"/>
      <c r="BS92" s="192"/>
      <c r="BT92" s="192"/>
      <c r="BU92" s="192"/>
      <c r="BV92" s="192"/>
      <c r="BW92" s="192"/>
      <c r="BX92" s="192"/>
      <c r="BY92" s="160"/>
      <c r="BZ92" s="206"/>
      <c r="CA92" s="160"/>
      <c r="CB92" s="160"/>
      <c r="CC92" s="191"/>
      <c r="CD92" s="160"/>
      <c r="CE92" s="192"/>
      <c r="CF92" s="193"/>
      <c r="CG92" s="192"/>
      <c r="CH92" s="192"/>
      <c r="CI92" s="193"/>
      <c r="CJ92" s="192"/>
      <c r="CK92" s="192"/>
      <c r="CL92" s="192"/>
      <c r="CM92" s="192"/>
      <c r="CN92" s="192"/>
      <c r="CO92" s="192"/>
      <c r="CP92" s="192"/>
      <c r="CQ92" s="192"/>
      <c r="CR92" s="160"/>
      <c r="CS92" s="206"/>
      <c r="CT92" s="160"/>
      <c r="CU92" s="160"/>
      <c r="CV92" s="160"/>
      <c r="CW92" s="160"/>
      <c r="CX92" s="192"/>
      <c r="CY92" s="192"/>
      <c r="CZ92" s="192"/>
      <c r="DA92" s="192"/>
      <c r="DB92" s="192"/>
      <c r="DC92" s="192"/>
      <c r="DD92" s="192"/>
      <c r="DE92" s="192"/>
      <c r="DF92" s="192"/>
      <c r="DG92" s="205"/>
      <c r="DH92" s="205"/>
      <c r="DI92" s="205"/>
      <c r="DJ92" s="192"/>
      <c r="DK92" s="192"/>
      <c r="DL92" s="192"/>
      <c r="DM92" s="10"/>
      <c r="DN92" s="10"/>
      <c r="DO92" s="10"/>
      <c r="DP92" s="10"/>
      <c r="DQ92" s="10"/>
      <c r="DR92" s="10"/>
    </row>
    <row r="93" spans="1:122" ht="15.75" customHeight="1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92"/>
      <c r="S93" s="192"/>
      <c r="T93" s="160"/>
      <c r="U93" s="160"/>
      <c r="V93" s="160"/>
      <c r="W93" s="160"/>
      <c r="X93" s="160"/>
      <c r="Y93" s="160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60"/>
      <c r="AN93" s="206"/>
      <c r="AO93" s="160"/>
      <c r="AP93" s="160"/>
      <c r="AQ93" s="160"/>
      <c r="AR93" s="206"/>
      <c r="AS93" s="192"/>
      <c r="AT93" s="192"/>
      <c r="AU93" s="206"/>
      <c r="AV93" s="192"/>
      <c r="AW93" s="192"/>
      <c r="AX93" s="206"/>
      <c r="AY93" s="192"/>
      <c r="AZ93" s="192"/>
      <c r="BA93" s="192"/>
      <c r="BB93" s="192"/>
      <c r="BC93" s="192"/>
      <c r="BD93" s="192"/>
      <c r="BE93" s="192"/>
      <c r="BF93" s="160"/>
      <c r="BG93" s="206"/>
      <c r="BH93" s="160"/>
      <c r="BI93" s="160"/>
      <c r="BJ93" s="160"/>
      <c r="BK93" s="206"/>
      <c r="BL93" s="192"/>
      <c r="BM93" s="192"/>
      <c r="BN93" s="206"/>
      <c r="BO93" s="192"/>
      <c r="BP93" s="192"/>
      <c r="BQ93" s="206"/>
      <c r="BR93" s="192"/>
      <c r="BS93" s="192"/>
      <c r="BT93" s="192"/>
      <c r="BU93" s="192"/>
      <c r="BV93" s="192"/>
      <c r="BW93" s="192"/>
      <c r="BX93" s="192"/>
      <c r="BY93" s="160"/>
      <c r="BZ93" s="206"/>
      <c r="CA93" s="160"/>
      <c r="CB93" s="160"/>
      <c r="CC93" s="160"/>
      <c r="CD93" s="206"/>
      <c r="CE93" s="192"/>
      <c r="CF93" s="192"/>
      <c r="CG93" s="206"/>
      <c r="CH93" s="192"/>
      <c r="CI93" s="192"/>
      <c r="CJ93" s="206"/>
      <c r="CK93" s="192"/>
      <c r="CL93" s="192"/>
      <c r="CM93" s="192"/>
      <c r="CN93" s="192"/>
      <c r="CO93" s="192"/>
      <c r="CP93" s="192"/>
      <c r="CQ93" s="192"/>
      <c r="CR93" s="160"/>
      <c r="CS93" s="206"/>
      <c r="CT93" s="160"/>
      <c r="CU93" s="160"/>
      <c r="CV93" s="160"/>
      <c r="CW93" s="160"/>
      <c r="CX93" s="192"/>
      <c r="CY93" s="192"/>
      <c r="CZ93" s="192"/>
      <c r="DA93" s="192"/>
      <c r="DB93" s="192"/>
      <c r="DC93" s="192"/>
      <c r="DD93" s="192"/>
      <c r="DE93" s="192"/>
      <c r="DF93" s="192"/>
      <c r="DG93" s="205"/>
      <c r="DH93" s="205"/>
      <c r="DI93" s="205"/>
      <c r="DJ93" s="192"/>
      <c r="DK93" s="192"/>
      <c r="DL93" s="192"/>
      <c r="DM93" s="10"/>
      <c r="DN93" s="10"/>
      <c r="DO93" s="10"/>
      <c r="DP93" s="10"/>
      <c r="DQ93" s="10"/>
      <c r="DR93" s="10"/>
    </row>
    <row r="94" spans="1:122" ht="15.75" customHeight="1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92"/>
      <c r="S94" s="192"/>
      <c r="T94" s="160"/>
      <c r="U94" s="160"/>
      <c r="V94" s="160"/>
      <c r="W94" s="160"/>
      <c r="X94" s="160"/>
      <c r="Y94" s="160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60"/>
      <c r="AN94" s="206"/>
      <c r="AO94" s="160"/>
      <c r="AP94" s="160"/>
      <c r="AQ94" s="160"/>
      <c r="AR94" s="206"/>
      <c r="AS94" s="192"/>
      <c r="AT94" s="192"/>
      <c r="AU94" s="206"/>
      <c r="AV94" s="192"/>
      <c r="AW94" s="192"/>
      <c r="AX94" s="206"/>
      <c r="AY94" s="192"/>
      <c r="AZ94" s="192"/>
      <c r="BA94" s="192"/>
      <c r="BB94" s="192"/>
      <c r="BC94" s="192"/>
      <c r="BD94" s="192"/>
      <c r="BE94" s="192"/>
      <c r="BF94" s="160"/>
      <c r="BG94" s="206"/>
      <c r="BH94" s="160"/>
      <c r="BI94" s="160"/>
      <c r="BJ94" s="160"/>
      <c r="BK94" s="206"/>
      <c r="BL94" s="192"/>
      <c r="BM94" s="192"/>
      <c r="BN94" s="206"/>
      <c r="BO94" s="192"/>
      <c r="BP94" s="192"/>
      <c r="BQ94" s="206"/>
      <c r="BR94" s="192"/>
      <c r="BS94" s="192"/>
      <c r="BT94" s="192"/>
      <c r="BU94" s="192"/>
      <c r="BV94" s="192"/>
      <c r="BW94" s="192"/>
      <c r="BX94" s="192"/>
      <c r="BY94" s="160"/>
      <c r="BZ94" s="206"/>
      <c r="CA94" s="160"/>
      <c r="CB94" s="160"/>
      <c r="CC94" s="160"/>
      <c r="CD94" s="206"/>
      <c r="CE94" s="192"/>
      <c r="CF94" s="192"/>
      <c r="CG94" s="206"/>
      <c r="CH94" s="192"/>
      <c r="CI94" s="192"/>
      <c r="CJ94" s="206"/>
      <c r="CK94" s="192"/>
      <c r="CL94" s="192"/>
      <c r="CM94" s="192"/>
      <c r="CN94" s="192"/>
      <c r="CO94" s="192"/>
      <c r="CP94" s="192"/>
      <c r="CQ94" s="192"/>
      <c r="CR94" s="160"/>
      <c r="CS94" s="206"/>
      <c r="CT94" s="160"/>
      <c r="CU94" s="160"/>
      <c r="CV94" s="160"/>
      <c r="CW94" s="160"/>
      <c r="CX94" s="192"/>
      <c r="CY94" s="192"/>
      <c r="CZ94" s="192"/>
      <c r="DA94" s="192"/>
      <c r="DB94" s="192"/>
      <c r="DC94" s="192"/>
      <c r="DD94" s="192"/>
      <c r="DE94" s="192"/>
      <c r="DF94" s="192"/>
      <c r="DG94" s="205"/>
      <c r="DH94" s="205"/>
      <c r="DI94" s="205"/>
      <c r="DJ94" s="192"/>
      <c r="DK94" s="192"/>
      <c r="DL94" s="192"/>
      <c r="DM94" s="10"/>
      <c r="DN94" s="10"/>
      <c r="DO94" s="10"/>
      <c r="DP94" s="10"/>
      <c r="DQ94" s="10"/>
      <c r="DR94" s="10"/>
    </row>
    <row r="95" spans="1:122" ht="15.75" customHeight="1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92"/>
      <c r="S95" s="192"/>
      <c r="T95" s="160"/>
      <c r="U95" s="160"/>
      <c r="V95" s="160"/>
      <c r="W95" s="160"/>
      <c r="X95" s="160"/>
      <c r="Y95" s="160"/>
      <c r="Z95" s="192"/>
      <c r="AA95" s="160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60"/>
      <c r="AN95" s="206"/>
      <c r="AO95" s="160"/>
      <c r="AP95" s="160"/>
      <c r="AQ95" s="160"/>
      <c r="AR95" s="206"/>
      <c r="AS95" s="192"/>
      <c r="AT95" s="160"/>
      <c r="AU95" s="206"/>
      <c r="AV95" s="192"/>
      <c r="AW95" s="192"/>
      <c r="AX95" s="206"/>
      <c r="AY95" s="192"/>
      <c r="AZ95" s="192"/>
      <c r="BA95" s="192"/>
      <c r="BB95" s="192"/>
      <c r="BC95" s="192"/>
      <c r="BD95" s="192"/>
      <c r="BE95" s="192"/>
      <c r="BF95" s="160"/>
      <c r="BG95" s="206"/>
      <c r="BH95" s="160"/>
      <c r="BI95" s="160"/>
      <c r="BJ95" s="160"/>
      <c r="BK95" s="206"/>
      <c r="BL95" s="192"/>
      <c r="BM95" s="160"/>
      <c r="BN95" s="206"/>
      <c r="BO95" s="192"/>
      <c r="BP95" s="192"/>
      <c r="BQ95" s="206"/>
      <c r="BR95" s="192"/>
      <c r="BS95" s="192"/>
      <c r="BT95" s="192"/>
      <c r="BU95" s="192"/>
      <c r="BV95" s="192"/>
      <c r="BW95" s="192"/>
      <c r="BX95" s="192"/>
      <c r="BY95" s="160"/>
      <c r="BZ95" s="206"/>
      <c r="CA95" s="160"/>
      <c r="CB95" s="160"/>
      <c r="CC95" s="160"/>
      <c r="CD95" s="206"/>
      <c r="CE95" s="192"/>
      <c r="CF95" s="192"/>
      <c r="CG95" s="206"/>
      <c r="CH95" s="192"/>
      <c r="CI95" s="192"/>
      <c r="CJ95" s="206"/>
      <c r="CK95" s="192"/>
      <c r="CL95" s="192"/>
      <c r="CM95" s="192"/>
      <c r="CN95" s="192"/>
      <c r="CO95" s="192"/>
      <c r="CP95" s="192"/>
      <c r="CQ95" s="192"/>
      <c r="CR95" s="160"/>
      <c r="CS95" s="206"/>
      <c r="CT95" s="160"/>
      <c r="CU95" s="160"/>
      <c r="CV95" s="160"/>
      <c r="CW95" s="160"/>
      <c r="CX95" s="192"/>
      <c r="CY95" s="160"/>
      <c r="CZ95" s="192"/>
      <c r="DA95" s="192"/>
      <c r="DB95" s="192"/>
      <c r="DC95" s="192"/>
      <c r="DD95" s="192"/>
      <c r="DE95" s="192"/>
      <c r="DF95" s="192"/>
      <c r="DG95" s="205"/>
      <c r="DH95" s="205"/>
      <c r="DI95" s="205"/>
      <c r="DJ95" s="192"/>
      <c r="DK95" s="192"/>
      <c r="DL95" s="192"/>
      <c r="DM95" s="10"/>
      <c r="DN95" s="10"/>
      <c r="DO95" s="10"/>
      <c r="DP95" s="10"/>
      <c r="DQ95" s="10"/>
      <c r="DR95" s="10"/>
    </row>
    <row r="96" spans="1:122" ht="15.75" customHeight="1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92"/>
      <c r="S96" s="192"/>
      <c r="T96" s="160"/>
      <c r="U96" s="160"/>
      <c r="V96" s="160"/>
      <c r="W96" s="160"/>
      <c r="X96" s="160"/>
      <c r="Y96" s="160"/>
      <c r="Z96" s="192"/>
      <c r="AA96" s="160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60"/>
      <c r="AN96" s="206"/>
      <c r="AO96" s="160"/>
      <c r="AP96" s="160"/>
      <c r="AQ96" s="160"/>
      <c r="AR96" s="206"/>
      <c r="AS96" s="192"/>
      <c r="AT96" s="160"/>
      <c r="AU96" s="206"/>
      <c r="AV96" s="192"/>
      <c r="AW96" s="192"/>
      <c r="AX96" s="206"/>
      <c r="AY96" s="192"/>
      <c r="AZ96" s="192"/>
      <c r="BA96" s="192"/>
      <c r="BB96" s="192"/>
      <c r="BC96" s="192"/>
      <c r="BD96" s="192"/>
      <c r="BE96" s="192"/>
      <c r="BF96" s="160"/>
      <c r="BG96" s="206"/>
      <c r="BH96" s="160"/>
      <c r="BI96" s="160"/>
      <c r="BJ96" s="160"/>
      <c r="BK96" s="206"/>
      <c r="BL96" s="192"/>
      <c r="BM96" s="160"/>
      <c r="BN96" s="206"/>
      <c r="BO96" s="192"/>
      <c r="BP96" s="192"/>
      <c r="BQ96" s="206"/>
      <c r="BR96" s="192"/>
      <c r="BS96" s="192"/>
      <c r="BT96" s="192"/>
      <c r="BU96" s="192"/>
      <c r="BV96" s="192"/>
      <c r="BW96" s="192"/>
      <c r="BX96" s="192"/>
      <c r="BY96" s="160"/>
      <c r="BZ96" s="206"/>
      <c r="CA96" s="160"/>
      <c r="CB96" s="160"/>
      <c r="CC96" s="160"/>
      <c r="CD96" s="206"/>
      <c r="CE96" s="192"/>
      <c r="CF96" s="160"/>
      <c r="CG96" s="206"/>
      <c r="CH96" s="192"/>
      <c r="CI96" s="192"/>
      <c r="CJ96" s="206"/>
      <c r="CK96" s="192"/>
      <c r="CL96" s="192"/>
      <c r="CM96" s="192"/>
      <c r="CN96" s="192"/>
      <c r="CO96" s="192"/>
      <c r="CP96" s="192"/>
      <c r="CQ96" s="192"/>
      <c r="CR96" s="160"/>
      <c r="CS96" s="206"/>
      <c r="CT96" s="160"/>
      <c r="CU96" s="160"/>
      <c r="CV96" s="160"/>
      <c r="CW96" s="160"/>
      <c r="CX96" s="192"/>
      <c r="CY96" s="160"/>
      <c r="CZ96" s="192"/>
      <c r="DA96" s="192"/>
      <c r="DB96" s="192"/>
      <c r="DC96" s="192"/>
      <c r="DD96" s="192"/>
      <c r="DE96" s="192"/>
      <c r="DF96" s="192"/>
      <c r="DG96" s="205"/>
      <c r="DH96" s="205"/>
      <c r="DI96" s="205"/>
      <c r="DJ96" s="192"/>
      <c r="DK96" s="192"/>
      <c r="DL96" s="192"/>
      <c r="DM96" s="10"/>
      <c r="DN96" s="10"/>
      <c r="DO96" s="10"/>
      <c r="DP96" s="10"/>
      <c r="DQ96" s="10"/>
      <c r="DR96" s="10"/>
    </row>
    <row r="97" spans="1:122" ht="15.75" customHeight="1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92"/>
      <c r="S97" s="192"/>
      <c r="T97" s="192"/>
      <c r="U97" s="160"/>
      <c r="V97" s="160"/>
      <c r="W97" s="160"/>
      <c r="X97" s="160"/>
      <c r="Y97" s="160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206"/>
      <c r="AO97" s="160"/>
      <c r="AP97" s="160"/>
      <c r="AQ97" s="160"/>
      <c r="AR97" s="206"/>
      <c r="AS97" s="192"/>
      <c r="AT97" s="192"/>
      <c r="AU97" s="206"/>
      <c r="AV97" s="192"/>
      <c r="AW97" s="192"/>
      <c r="AX97" s="206"/>
      <c r="AY97" s="192"/>
      <c r="AZ97" s="192"/>
      <c r="BA97" s="192"/>
      <c r="BB97" s="192"/>
      <c r="BC97" s="192"/>
      <c r="BD97" s="192"/>
      <c r="BE97" s="192"/>
      <c r="BF97" s="192"/>
      <c r="BG97" s="206"/>
      <c r="BH97" s="160"/>
      <c r="BI97" s="160"/>
      <c r="BJ97" s="160"/>
      <c r="BK97" s="206"/>
      <c r="BL97" s="192"/>
      <c r="BM97" s="192"/>
      <c r="BN97" s="206"/>
      <c r="BO97" s="192"/>
      <c r="BP97" s="192"/>
      <c r="BQ97" s="206"/>
      <c r="BR97" s="192"/>
      <c r="BS97" s="192"/>
      <c r="BT97" s="192"/>
      <c r="BU97" s="192"/>
      <c r="BV97" s="192"/>
      <c r="BW97" s="192"/>
      <c r="BX97" s="192"/>
      <c r="BY97" s="192"/>
      <c r="BZ97" s="206"/>
      <c r="CA97" s="160"/>
      <c r="CB97" s="160"/>
      <c r="CC97" s="160"/>
      <c r="CD97" s="206"/>
      <c r="CE97" s="192"/>
      <c r="CF97" s="160"/>
      <c r="CG97" s="206"/>
      <c r="CH97" s="192"/>
      <c r="CI97" s="192"/>
      <c r="CJ97" s="206"/>
      <c r="CK97" s="192"/>
      <c r="CL97" s="192"/>
      <c r="CM97" s="192"/>
      <c r="CN97" s="192"/>
      <c r="CO97" s="192"/>
      <c r="CP97" s="192"/>
      <c r="CQ97" s="192"/>
      <c r="CR97" s="192"/>
      <c r="CS97" s="206"/>
      <c r="CT97" s="160"/>
      <c r="CU97" s="160"/>
      <c r="CV97" s="160"/>
      <c r="CW97" s="160"/>
      <c r="CX97" s="192"/>
      <c r="CY97" s="192"/>
      <c r="CZ97" s="192"/>
      <c r="DA97" s="192"/>
      <c r="DB97" s="192"/>
      <c r="DC97" s="192"/>
      <c r="DD97" s="192"/>
      <c r="DE97" s="192"/>
      <c r="DF97" s="192"/>
      <c r="DG97" s="205"/>
      <c r="DH97" s="205"/>
      <c r="DI97" s="205"/>
      <c r="DJ97" s="192"/>
      <c r="DK97" s="192"/>
      <c r="DL97" s="192"/>
      <c r="DM97" s="10"/>
      <c r="DN97" s="10"/>
      <c r="DO97" s="10"/>
      <c r="DP97" s="10"/>
      <c r="DQ97" s="10"/>
      <c r="DR97" s="10"/>
    </row>
    <row r="98" spans="1:122" ht="15.75" customHeight="1">
      <c r="A98" s="209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92"/>
      <c r="S98" s="192"/>
      <c r="T98" s="209"/>
      <c r="U98" s="160"/>
      <c r="V98" s="160"/>
      <c r="W98" s="160"/>
      <c r="X98" s="160"/>
      <c r="Y98" s="160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209"/>
      <c r="AN98" s="206"/>
      <c r="AO98" s="160"/>
      <c r="AP98" s="160"/>
      <c r="AQ98" s="160"/>
      <c r="AR98" s="206"/>
      <c r="AS98" s="192"/>
      <c r="AT98" s="192"/>
      <c r="AU98" s="206"/>
      <c r="AV98" s="192"/>
      <c r="AW98" s="192"/>
      <c r="AX98" s="206"/>
      <c r="AY98" s="192"/>
      <c r="AZ98" s="192"/>
      <c r="BA98" s="192"/>
      <c r="BB98" s="192"/>
      <c r="BC98" s="192"/>
      <c r="BD98" s="192"/>
      <c r="BE98" s="192"/>
      <c r="BF98" s="209"/>
      <c r="BG98" s="206"/>
      <c r="BH98" s="160"/>
      <c r="BI98" s="160"/>
      <c r="BJ98" s="160"/>
      <c r="BK98" s="206"/>
      <c r="BL98" s="192"/>
      <c r="BM98" s="192"/>
      <c r="BN98" s="206"/>
      <c r="BO98" s="192"/>
      <c r="BP98" s="192"/>
      <c r="BQ98" s="206"/>
      <c r="BR98" s="192"/>
      <c r="BS98" s="192"/>
      <c r="BT98" s="192"/>
      <c r="BU98" s="192"/>
      <c r="BV98" s="192"/>
      <c r="BW98" s="192"/>
      <c r="BX98" s="192"/>
      <c r="BY98" s="209"/>
      <c r="BZ98" s="206"/>
      <c r="CA98" s="160"/>
      <c r="CB98" s="160"/>
      <c r="CC98" s="160"/>
      <c r="CD98" s="206"/>
      <c r="CE98" s="192"/>
      <c r="CF98" s="192"/>
      <c r="CG98" s="206"/>
      <c r="CH98" s="192"/>
      <c r="CI98" s="192"/>
      <c r="CJ98" s="206"/>
      <c r="CK98" s="192"/>
      <c r="CL98" s="192"/>
      <c r="CM98" s="192"/>
      <c r="CN98" s="192"/>
      <c r="CO98" s="192"/>
      <c r="CP98" s="192"/>
      <c r="CQ98" s="192"/>
      <c r="CR98" s="209"/>
      <c r="CS98" s="206"/>
      <c r="CT98" s="160"/>
      <c r="CU98" s="160"/>
      <c r="CV98" s="160"/>
      <c r="CW98" s="160"/>
      <c r="CX98" s="192"/>
      <c r="CY98" s="192"/>
      <c r="CZ98" s="192"/>
      <c r="DA98" s="192"/>
      <c r="DB98" s="192"/>
      <c r="DC98" s="192"/>
      <c r="DD98" s="192"/>
      <c r="DE98" s="192"/>
      <c r="DF98" s="192"/>
      <c r="DG98" s="205"/>
      <c r="DH98" s="205"/>
      <c r="DI98" s="205"/>
      <c r="DJ98" s="192"/>
      <c r="DK98" s="192"/>
      <c r="DL98" s="192"/>
      <c r="DM98" s="10"/>
      <c r="DN98" s="10"/>
      <c r="DO98" s="10"/>
      <c r="DP98" s="10"/>
      <c r="DQ98" s="10"/>
      <c r="DR98" s="10"/>
    </row>
    <row r="99" spans="1:122" ht="15.75" customHeight="1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92"/>
      <c r="S99" s="192"/>
      <c r="T99" s="160"/>
      <c r="U99" s="160"/>
      <c r="V99" s="160"/>
      <c r="W99" s="160"/>
      <c r="X99" s="160"/>
      <c r="Y99" s="160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60"/>
      <c r="AN99" s="206"/>
      <c r="AO99" s="160"/>
      <c r="AP99" s="160"/>
      <c r="AQ99" s="160"/>
      <c r="AR99" s="206"/>
      <c r="AS99" s="192"/>
      <c r="AT99" s="192"/>
      <c r="AU99" s="206"/>
      <c r="AV99" s="192"/>
      <c r="AW99" s="192"/>
      <c r="AX99" s="206"/>
      <c r="AY99" s="192"/>
      <c r="AZ99" s="192"/>
      <c r="BA99" s="192"/>
      <c r="BB99" s="192"/>
      <c r="BC99" s="192"/>
      <c r="BD99" s="192"/>
      <c r="BE99" s="192"/>
      <c r="BF99" s="160"/>
      <c r="BG99" s="206"/>
      <c r="BH99" s="160"/>
      <c r="BI99" s="160"/>
      <c r="BJ99" s="160"/>
      <c r="BK99" s="206"/>
      <c r="BL99" s="192"/>
      <c r="BM99" s="192"/>
      <c r="BN99" s="206"/>
      <c r="BO99" s="192"/>
      <c r="BP99" s="192"/>
      <c r="BQ99" s="206"/>
      <c r="BR99" s="192"/>
      <c r="BS99" s="192"/>
      <c r="BT99" s="192"/>
      <c r="BU99" s="192"/>
      <c r="BV99" s="192"/>
      <c r="BW99" s="192"/>
      <c r="BX99" s="192"/>
      <c r="BY99" s="160"/>
      <c r="BZ99" s="206"/>
      <c r="CA99" s="160"/>
      <c r="CB99" s="160"/>
      <c r="CC99" s="160"/>
      <c r="CD99" s="206"/>
      <c r="CE99" s="192"/>
      <c r="CF99" s="192"/>
      <c r="CG99" s="206"/>
      <c r="CH99" s="192"/>
      <c r="CI99" s="192"/>
      <c r="CJ99" s="206"/>
      <c r="CK99" s="192"/>
      <c r="CL99" s="192"/>
      <c r="CM99" s="192"/>
      <c r="CN99" s="192"/>
      <c r="CO99" s="192"/>
      <c r="CP99" s="192"/>
      <c r="CQ99" s="192"/>
      <c r="CR99" s="160"/>
      <c r="CS99" s="160"/>
      <c r="CT99" s="160"/>
      <c r="CU99" s="160"/>
      <c r="CV99" s="160"/>
      <c r="CW99" s="160"/>
      <c r="CX99" s="192"/>
      <c r="CY99" s="192"/>
      <c r="CZ99" s="192"/>
      <c r="DA99" s="192"/>
      <c r="DB99" s="192"/>
      <c r="DC99" s="192"/>
      <c r="DD99" s="192"/>
      <c r="DE99" s="192"/>
      <c r="DF99" s="192"/>
      <c r="DG99" s="205"/>
      <c r="DH99" s="205"/>
      <c r="DI99" s="205"/>
      <c r="DJ99" s="192"/>
      <c r="DK99" s="192"/>
      <c r="DL99" s="192"/>
      <c r="DM99" s="10"/>
      <c r="DN99" s="10"/>
      <c r="DO99" s="10"/>
      <c r="DP99" s="10"/>
      <c r="DQ99" s="10"/>
      <c r="DR99" s="10"/>
    </row>
    <row r="100" spans="1:122" ht="15.75" customHeight="1">
      <c r="A100" s="160"/>
      <c r="B100" s="160"/>
      <c r="C100" s="160"/>
      <c r="D100" s="160"/>
      <c r="E100" s="209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92"/>
      <c r="S100" s="192"/>
      <c r="T100" s="160"/>
      <c r="U100" s="160"/>
      <c r="V100" s="160"/>
      <c r="W100" s="160"/>
      <c r="X100" s="209"/>
      <c r="Y100" s="160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60"/>
      <c r="AN100" s="206"/>
      <c r="AO100" s="160"/>
      <c r="AP100" s="160"/>
      <c r="AQ100" s="209"/>
      <c r="AR100" s="206"/>
      <c r="AS100" s="192"/>
      <c r="AT100" s="192"/>
      <c r="AU100" s="206"/>
      <c r="AV100" s="192"/>
      <c r="AW100" s="192"/>
      <c r="AX100" s="206"/>
      <c r="AY100" s="192"/>
      <c r="AZ100" s="192"/>
      <c r="BA100" s="192"/>
      <c r="BB100" s="192"/>
      <c r="BC100" s="192"/>
      <c r="BD100" s="192"/>
      <c r="BE100" s="192"/>
      <c r="BF100" s="160"/>
      <c r="BG100" s="206"/>
      <c r="BH100" s="160"/>
      <c r="BI100" s="160"/>
      <c r="BJ100" s="209"/>
      <c r="BK100" s="206"/>
      <c r="BL100" s="192"/>
      <c r="BM100" s="192"/>
      <c r="BN100" s="206"/>
      <c r="BO100" s="192"/>
      <c r="BP100" s="192"/>
      <c r="BQ100" s="206"/>
      <c r="BR100" s="192"/>
      <c r="BS100" s="192"/>
      <c r="BT100" s="192"/>
      <c r="BU100" s="192"/>
      <c r="BV100" s="192"/>
      <c r="BW100" s="192"/>
      <c r="BX100" s="192"/>
      <c r="BY100" s="160"/>
      <c r="BZ100" s="206"/>
      <c r="CA100" s="160"/>
      <c r="CB100" s="160"/>
      <c r="CC100" s="160"/>
      <c r="CD100" s="206"/>
      <c r="CE100" s="192"/>
      <c r="CF100" s="192"/>
      <c r="CG100" s="206"/>
      <c r="CH100" s="192"/>
      <c r="CI100" s="192"/>
      <c r="CJ100" s="206"/>
      <c r="CK100" s="192"/>
      <c r="CL100" s="192"/>
      <c r="CM100" s="192"/>
      <c r="CN100" s="192"/>
      <c r="CO100" s="192"/>
      <c r="CP100" s="192"/>
      <c r="CQ100" s="192"/>
      <c r="CR100" s="160"/>
      <c r="CS100" s="160"/>
      <c r="CT100" s="160"/>
      <c r="CU100" s="160"/>
      <c r="CV100" s="209"/>
      <c r="CW100" s="160"/>
      <c r="CX100" s="192"/>
      <c r="CY100" s="192"/>
      <c r="CZ100" s="192"/>
      <c r="DA100" s="192"/>
      <c r="DB100" s="192"/>
      <c r="DC100" s="192"/>
      <c r="DD100" s="192"/>
      <c r="DE100" s="192"/>
      <c r="DF100" s="192"/>
      <c r="DG100" s="205"/>
      <c r="DH100" s="205"/>
      <c r="DI100" s="205"/>
      <c r="DJ100" s="192"/>
      <c r="DK100" s="192"/>
      <c r="DL100" s="192"/>
      <c r="DM100" s="10"/>
      <c r="DN100" s="10"/>
      <c r="DO100" s="10"/>
      <c r="DP100" s="10"/>
      <c r="DQ100" s="10"/>
      <c r="DR100" s="10"/>
    </row>
    <row r="101" spans="1:122" ht="15.75" customHeight="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92"/>
      <c r="S101" s="192"/>
      <c r="T101" s="160"/>
      <c r="U101" s="160"/>
      <c r="V101" s="160"/>
      <c r="W101" s="160"/>
      <c r="X101" s="160"/>
      <c r="Y101" s="160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60"/>
      <c r="AN101" s="206"/>
      <c r="AO101" s="160"/>
      <c r="AP101" s="160"/>
      <c r="AQ101" s="160"/>
      <c r="AR101" s="160"/>
      <c r="AS101" s="192"/>
      <c r="AT101" s="192"/>
      <c r="AU101" s="206"/>
      <c r="AV101" s="192"/>
      <c r="AW101" s="192"/>
      <c r="AX101" s="206"/>
      <c r="AY101" s="192"/>
      <c r="AZ101" s="192"/>
      <c r="BA101" s="192"/>
      <c r="BB101" s="192"/>
      <c r="BC101" s="192"/>
      <c r="BD101" s="192"/>
      <c r="BE101" s="192"/>
      <c r="BF101" s="160"/>
      <c r="BG101" s="206"/>
      <c r="BH101" s="160"/>
      <c r="BI101" s="160"/>
      <c r="BJ101" s="160"/>
      <c r="BK101" s="160"/>
      <c r="BL101" s="192"/>
      <c r="BM101" s="192"/>
      <c r="BN101" s="206"/>
      <c r="BO101" s="192"/>
      <c r="BP101" s="192"/>
      <c r="BQ101" s="206"/>
      <c r="BR101" s="192"/>
      <c r="BS101" s="192"/>
      <c r="BT101" s="192"/>
      <c r="BU101" s="192"/>
      <c r="BV101" s="192"/>
      <c r="BW101" s="192"/>
      <c r="BX101" s="192"/>
      <c r="BY101" s="160"/>
      <c r="BZ101" s="206"/>
      <c r="CA101" s="160"/>
      <c r="CB101" s="160"/>
      <c r="CC101" s="209"/>
      <c r="CD101" s="206"/>
      <c r="CE101" s="192"/>
      <c r="CF101" s="192"/>
      <c r="CG101" s="206"/>
      <c r="CH101" s="192"/>
      <c r="CI101" s="192"/>
      <c r="CJ101" s="206"/>
      <c r="CK101" s="192"/>
      <c r="CL101" s="192"/>
      <c r="CM101" s="192"/>
      <c r="CN101" s="192"/>
      <c r="CO101" s="192"/>
      <c r="CP101" s="192"/>
      <c r="CQ101" s="192"/>
      <c r="CR101" s="160"/>
      <c r="CS101" s="160"/>
      <c r="CT101" s="160"/>
      <c r="CU101" s="160"/>
      <c r="CV101" s="160"/>
      <c r="CW101" s="160"/>
      <c r="CX101" s="192"/>
      <c r="CY101" s="192"/>
      <c r="CZ101" s="192"/>
      <c r="DA101" s="192"/>
      <c r="DB101" s="192"/>
      <c r="DC101" s="192"/>
      <c r="DD101" s="192"/>
      <c r="DE101" s="192"/>
      <c r="DF101" s="192"/>
      <c r="DG101" s="205"/>
      <c r="DH101" s="205"/>
      <c r="DI101" s="205"/>
      <c r="DJ101" s="192"/>
      <c r="DK101" s="192"/>
      <c r="DL101" s="192"/>
      <c r="DM101" s="10"/>
      <c r="DN101" s="10"/>
      <c r="DO101" s="10"/>
      <c r="DP101" s="10"/>
      <c r="DQ101" s="10"/>
      <c r="DR101" s="10"/>
    </row>
    <row r="102" spans="1:122" ht="15.75" customHeight="1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92"/>
      <c r="S102" s="192"/>
      <c r="T102" s="160"/>
      <c r="U102" s="160"/>
      <c r="V102" s="160"/>
      <c r="W102" s="160"/>
      <c r="X102" s="160"/>
      <c r="Y102" s="160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60"/>
      <c r="AN102" s="206"/>
      <c r="AO102" s="160"/>
      <c r="AP102" s="160"/>
      <c r="AQ102" s="160"/>
      <c r="AR102" s="160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  <c r="BD102" s="192"/>
      <c r="BE102" s="192"/>
      <c r="BF102" s="160"/>
      <c r="BG102" s="206"/>
      <c r="BH102" s="160"/>
      <c r="BI102" s="160"/>
      <c r="BJ102" s="160"/>
      <c r="BK102" s="160"/>
      <c r="BL102" s="192"/>
      <c r="BM102" s="192"/>
      <c r="BN102" s="192"/>
      <c r="BO102" s="192"/>
      <c r="BP102" s="192"/>
      <c r="BQ102" s="192"/>
      <c r="BR102" s="192"/>
      <c r="BS102" s="192"/>
      <c r="BT102" s="192"/>
      <c r="BU102" s="192"/>
      <c r="BV102" s="192"/>
      <c r="BW102" s="192"/>
      <c r="BX102" s="192"/>
      <c r="BY102" s="160"/>
      <c r="BZ102" s="206"/>
      <c r="CA102" s="160"/>
      <c r="CB102" s="160"/>
      <c r="CC102" s="160"/>
      <c r="CD102" s="160"/>
      <c r="CE102" s="192"/>
      <c r="CF102" s="192"/>
      <c r="CG102" s="206"/>
      <c r="CH102" s="192"/>
      <c r="CI102" s="192"/>
      <c r="CJ102" s="206"/>
      <c r="CK102" s="192"/>
      <c r="CL102" s="192"/>
      <c r="CM102" s="192"/>
      <c r="CN102" s="192"/>
      <c r="CO102" s="192"/>
      <c r="CP102" s="192"/>
      <c r="CQ102" s="192"/>
      <c r="CR102" s="160"/>
      <c r="CS102" s="160"/>
      <c r="CT102" s="160"/>
      <c r="CU102" s="160"/>
      <c r="CV102" s="160"/>
      <c r="CW102" s="160"/>
      <c r="CX102" s="192"/>
      <c r="CY102" s="192"/>
      <c r="CZ102" s="192"/>
      <c r="DA102" s="192"/>
      <c r="DB102" s="192"/>
      <c r="DC102" s="192"/>
      <c r="DD102" s="192"/>
      <c r="DE102" s="192"/>
      <c r="DF102" s="192"/>
      <c r="DG102" s="205"/>
      <c r="DH102" s="205"/>
      <c r="DI102" s="205"/>
      <c r="DJ102" s="192"/>
      <c r="DK102" s="192"/>
      <c r="DL102" s="192"/>
      <c r="DM102" s="10"/>
      <c r="DN102" s="10"/>
      <c r="DO102" s="10"/>
      <c r="DP102" s="10"/>
      <c r="DQ102" s="10"/>
      <c r="DR102" s="10"/>
    </row>
    <row r="103" spans="1:122" ht="15.75" customHeight="1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92"/>
      <c r="S103" s="192"/>
      <c r="T103" s="160"/>
      <c r="U103" s="160"/>
      <c r="V103" s="160"/>
      <c r="W103" s="160"/>
      <c r="X103" s="160"/>
      <c r="Y103" s="160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60"/>
      <c r="AN103" s="206"/>
      <c r="AO103" s="160"/>
      <c r="AP103" s="160"/>
      <c r="AQ103" s="160"/>
      <c r="AR103" s="160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  <c r="BD103" s="192"/>
      <c r="BE103" s="192"/>
      <c r="BF103" s="160"/>
      <c r="BG103" s="206"/>
      <c r="BH103" s="160"/>
      <c r="BI103" s="160"/>
      <c r="BJ103" s="160"/>
      <c r="BK103" s="160"/>
      <c r="BL103" s="192"/>
      <c r="BM103" s="192"/>
      <c r="BN103" s="192"/>
      <c r="BO103" s="192"/>
      <c r="BP103" s="192"/>
      <c r="BQ103" s="192"/>
      <c r="BR103" s="192"/>
      <c r="BS103" s="192"/>
      <c r="BT103" s="192"/>
      <c r="BU103" s="192"/>
      <c r="BV103" s="192"/>
      <c r="BW103" s="192"/>
      <c r="BX103" s="192"/>
      <c r="BY103" s="160"/>
      <c r="BZ103" s="206"/>
      <c r="CA103" s="160"/>
      <c r="CB103" s="160"/>
      <c r="CC103" s="160"/>
      <c r="CD103" s="160"/>
      <c r="CE103" s="192"/>
      <c r="CF103" s="192"/>
      <c r="CG103" s="192"/>
      <c r="CH103" s="192"/>
      <c r="CI103" s="192"/>
      <c r="CJ103" s="192"/>
      <c r="CK103" s="192"/>
      <c r="CL103" s="192"/>
      <c r="CM103" s="192"/>
      <c r="CN103" s="192"/>
      <c r="CO103" s="192"/>
      <c r="CP103" s="192"/>
      <c r="CQ103" s="192"/>
      <c r="CR103" s="160"/>
      <c r="CS103" s="160"/>
      <c r="CT103" s="160"/>
      <c r="CU103" s="160"/>
      <c r="CV103" s="160"/>
      <c r="CW103" s="160"/>
      <c r="CX103" s="192"/>
      <c r="CY103" s="192"/>
      <c r="CZ103" s="192"/>
      <c r="DA103" s="192"/>
      <c r="DB103" s="192"/>
      <c r="DC103" s="192"/>
      <c r="DD103" s="192"/>
      <c r="DE103" s="192"/>
      <c r="DF103" s="192"/>
      <c r="DG103" s="205"/>
      <c r="DH103" s="205"/>
      <c r="DI103" s="205"/>
      <c r="DJ103" s="192"/>
      <c r="DK103" s="192"/>
      <c r="DL103" s="192"/>
      <c r="DM103" s="10"/>
      <c r="DN103" s="10"/>
      <c r="DO103" s="10"/>
      <c r="DP103" s="10"/>
      <c r="DQ103" s="10"/>
      <c r="DR103" s="10"/>
    </row>
    <row r="104" spans="1:122" ht="15.75" customHeight="1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92"/>
      <c r="S104" s="192"/>
      <c r="T104" s="160"/>
      <c r="U104" s="160"/>
      <c r="V104" s="160"/>
      <c r="W104" s="160"/>
      <c r="X104" s="160"/>
      <c r="Y104" s="160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60"/>
      <c r="AN104" s="206"/>
      <c r="AO104" s="160"/>
      <c r="AP104" s="160"/>
      <c r="AQ104" s="160"/>
      <c r="AR104" s="160"/>
      <c r="AS104" s="192"/>
      <c r="AT104" s="192"/>
      <c r="AU104" s="212"/>
      <c r="AV104" s="212"/>
      <c r="AW104" s="212"/>
      <c r="AX104" s="212"/>
      <c r="AY104" s="192"/>
      <c r="AZ104" s="192"/>
      <c r="BA104" s="192"/>
      <c r="BB104" s="192"/>
      <c r="BC104" s="192"/>
      <c r="BD104" s="192"/>
      <c r="BE104" s="192"/>
      <c r="BF104" s="160"/>
      <c r="BG104" s="206"/>
      <c r="BH104" s="160"/>
      <c r="BI104" s="160"/>
      <c r="BJ104" s="160"/>
      <c r="BK104" s="160"/>
      <c r="BL104" s="192"/>
      <c r="BM104" s="192"/>
      <c r="BN104" s="192"/>
      <c r="BO104" s="192"/>
      <c r="BP104" s="192"/>
      <c r="BQ104" s="192"/>
      <c r="BR104" s="192"/>
      <c r="BS104" s="192"/>
      <c r="BT104" s="192"/>
      <c r="BU104" s="192"/>
      <c r="BV104" s="192"/>
      <c r="BW104" s="192"/>
      <c r="BX104" s="192"/>
      <c r="BY104" s="160"/>
      <c r="BZ104" s="206"/>
      <c r="CA104" s="160"/>
      <c r="CB104" s="160"/>
      <c r="CC104" s="160"/>
      <c r="CD104" s="160"/>
      <c r="CE104" s="192"/>
      <c r="CF104" s="192"/>
      <c r="CG104" s="192"/>
      <c r="CH104" s="192"/>
      <c r="CI104" s="192"/>
      <c r="CJ104" s="192"/>
      <c r="CK104" s="192"/>
      <c r="CL104" s="192"/>
      <c r="CM104" s="192"/>
      <c r="CN104" s="192"/>
      <c r="CO104" s="192"/>
      <c r="CP104" s="192"/>
      <c r="CQ104" s="192"/>
      <c r="CR104" s="160"/>
      <c r="CS104" s="160"/>
      <c r="CT104" s="160"/>
      <c r="CU104" s="160"/>
      <c r="CV104" s="160"/>
      <c r="CW104" s="160"/>
      <c r="CX104" s="192"/>
      <c r="CY104" s="192"/>
      <c r="CZ104" s="192"/>
      <c r="DA104" s="192"/>
      <c r="DB104" s="192"/>
      <c r="DC104" s="192"/>
      <c r="DD104" s="192"/>
      <c r="DE104" s="192"/>
      <c r="DF104" s="192"/>
      <c r="DG104" s="205"/>
      <c r="DH104" s="205"/>
      <c r="DI104" s="205"/>
      <c r="DJ104" s="192"/>
      <c r="DK104" s="192"/>
      <c r="DL104" s="192"/>
      <c r="DM104" s="10"/>
      <c r="DN104" s="10"/>
      <c r="DO104" s="10"/>
      <c r="DP104" s="10"/>
      <c r="DQ104" s="10"/>
      <c r="DR104" s="10"/>
    </row>
    <row r="105" spans="1:122" ht="15.75" customHeight="1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92"/>
      <c r="S105" s="192"/>
      <c r="T105" s="160"/>
      <c r="U105" s="160"/>
      <c r="V105" s="160"/>
      <c r="W105" s="160"/>
      <c r="X105" s="160"/>
      <c r="Y105" s="160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60"/>
      <c r="AN105" s="206"/>
      <c r="AO105" s="160"/>
      <c r="AP105" s="160"/>
      <c r="AQ105" s="160"/>
      <c r="AR105" s="160"/>
      <c r="AS105" s="192"/>
      <c r="AT105" s="192"/>
      <c r="AU105" s="212"/>
      <c r="AV105" s="212"/>
      <c r="AW105" s="212"/>
      <c r="AX105" s="212"/>
      <c r="AY105" s="192"/>
      <c r="AZ105" s="192"/>
      <c r="BA105" s="192"/>
      <c r="BB105" s="192"/>
      <c r="BC105" s="192"/>
      <c r="BD105" s="192"/>
      <c r="BE105" s="192"/>
      <c r="BF105" s="160"/>
      <c r="BG105" s="206"/>
      <c r="BH105" s="160"/>
      <c r="BI105" s="160"/>
      <c r="BJ105" s="160"/>
      <c r="BK105" s="160"/>
      <c r="BL105" s="192"/>
      <c r="BM105" s="192"/>
      <c r="BN105" s="192"/>
      <c r="BO105" s="192"/>
      <c r="BP105" s="192"/>
      <c r="BQ105" s="192"/>
      <c r="BR105" s="192"/>
      <c r="BS105" s="192"/>
      <c r="BT105" s="192"/>
      <c r="BU105" s="192"/>
      <c r="BV105" s="192"/>
      <c r="BW105" s="192"/>
      <c r="BX105" s="192"/>
      <c r="BY105" s="160"/>
      <c r="BZ105" s="206"/>
      <c r="CA105" s="160"/>
      <c r="CB105" s="160"/>
      <c r="CC105" s="160"/>
      <c r="CD105" s="160"/>
      <c r="CE105" s="192"/>
      <c r="CF105" s="192"/>
      <c r="CG105" s="192"/>
      <c r="CH105" s="192"/>
      <c r="CI105" s="192"/>
      <c r="CJ105" s="192"/>
      <c r="CK105" s="192"/>
      <c r="CL105" s="192"/>
      <c r="CM105" s="192"/>
      <c r="CN105" s="192"/>
      <c r="CO105" s="192"/>
      <c r="CP105" s="192"/>
      <c r="CQ105" s="192"/>
      <c r="CR105" s="160"/>
      <c r="CS105" s="160"/>
      <c r="CT105" s="160"/>
      <c r="CU105" s="160"/>
      <c r="CV105" s="160"/>
      <c r="CW105" s="160"/>
      <c r="CX105" s="192"/>
      <c r="CY105" s="192"/>
      <c r="CZ105" s="192"/>
      <c r="DA105" s="192"/>
      <c r="DB105" s="477"/>
      <c r="DC105" s="477"/>
      <c r="DD105" s="192"/>
      <c r="DE105" s="192"/>
      <c r="DF105" s="192"/>
      <c r="DG105" s="205"/>
      <c r="DH105" s="205"/>
      <c r="DI105" s="205"/>
      <c r="DJ105" s="192"/>
      <c r="DK105" s="192"/>
      <c r="DL105" s="192"/>
      <c r="DM105" s="10"/>
      <c r="DN105" s="10"/>
      <c r="DO105" s="10"/>
      <c r="DP105" s="10"/>
      <c r="DQ105" s="10"/>
      <c r="DR105" s="10"/>
    </row>
    <row r="106" spans="1:122" ht="15.75" customHeight="1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92"/>
      <c r="S106" s="192"/>
      <c r="T106" s="160"/>
      <c r="U106" s="160"/>
      <c r="V106" s="160"/>
      <c r="W106" s="160"/>
      <c r="X106" s="160"/>
      <c r="Y106" s="160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60"/>
      <c r="AN106" s="206"/>
      <c r="AO106" s="160"/>
      <c r="AP106" s="160"/>
      <c r="AQ106" s="160"/>
      <c r="AR106" s="160"/>
      <c r="AS106" s="192"/>
      <c r="AT106" s="192"/>
      <c r="AU106" s="212"/>
      <c r="AV106" s="212"/>
      <c r="AW106" s="212"/>
      <c r="AX106" s="212"/>
      <c r="AY106" s="192"/>
      <c r="AZ106" s="192"/>
      <c r="BA106" s="192"/>
      <c r="BB106" s="192"/>
      <c r="BC106" s="192"/>
      <c r="BD106" s="192"/>
      <c r="BE106" s="192"/>
      <c r="BF106" s="160"/>
      <c r="BG106" s="206"/>
      <c r="BH106" s="160"/>
      <c r="BI106" s="160"/>
      <c r="BJ106" s="160"/>
      <c r="BK106" s="206"/>
      <c r="BL106" s="192"/>
      <c r="BM106" s="192"/>
      <c r="BN106" s="206"/>
      <c r="BO106" s="192"/>
      <c r="BP106" s="192"/>
      <c r="BQ106" s="206"/>
      <c r="BR106" s="192"/>
      <c r="BS106" s="192"/>
      <c r="BT106" s="192"/>
      <c r="BU106" s="192"/>
      <c r="BV106" s="192"/>
      <c r="BW106" s="192"/>
      <c r="BX106" s="192"/>
      <c r="BY106" s="160"/>
      <c r="BZ106" s="206"/>
      <c r="CA106" s="160"/>
      <c r="CB106" s="160"/>
      <c r="CC106" s="206"/>
      <c r="CD106" s="206"/>
      <c r="CE106" s="206"/>
      <c r="CF106" s="206"/>
      <c r="CG106" s="206"/>
      <c r="CH106" s="206"/>
      <c r="CI106" s="206"/>
      <c r="CJ106" s="206"/>
      <c r="CK106" s="192"/>
      <c r="CL106" s="192"/>
      <c r="CM106" s="192"/>
      <c r="CN106" s="192"/>
      <c r="CO106" s="192"/>
      <c r="CP106" s="192"/>
      <c r="CQ106" s="192"/>
      <c r="CR106" s="160"/>
      <c r="CS106" s="160"/>
      <c r="CT106" s="160"/>
      <c r="CU106" s="160"/>
      <c r="CV106" s="160"/>
      <c r="CW106" s="160"/>
      <c r="CX106" s="192"/>
      <c r="CY106" s="192"/>
      <c r="CZ106" s="192"/>
      <c r="DA106" s="192"/>
      <c r="DB106" s="192"/>
      <c r="DC106" s="192"/>
      <c r="DD106" s="192"/>
      <c r="DE106" s="192"/>
      <c r="DF106" s="192"/>
      <c r="DG106" s="205"/>
      <c r="DH106" s="205"/>
      <c r="DI106" s="205"/>
      <c r="DJ106" s="192"/>
      <c r="DK106" s="192"/>
      <c r="DL106" s="192"/>
      <c r="DM106" s="10"/>
      <c r="DN106" s="10"/>
      <c r="DO106" s="10"/>
      <c r="DP106" s="10"/>
      <c r="DQ106" s="10"/>
      <c r="DR106" s="10"/>
    </row>
    <row r="107" spans="1:122" ht="15.75" customHeight="1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92"/>
      <c r="S107" s="192"/>
      <c r="T107" s="160"/>
      <c r="U107" s="160"/>
      <c r="V107" s="160"/>
      <c r="W107" s="160"/>
      <c r="X107" s="160"/>
      <c r="Y107" s="160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60"/>
      <c r="AN107" s="206"/>
      <c r="AO107" s="160"/>
      <c r="AP107" s="160"/>
      <c r="AQ107" s="160"/>
      <c r="AR107" s="160"/>
      <c r="AS107" s="192"/>
      <c r="AT107" s="192"/>
      <c r="AU107" s="212"/>
      <c r="AV107" s="212"/>
      <c r="AW107" s="212"/>
      <c r="AX107" s="212"/>
      <c r="AY107" s="192"/>
      <c r="AZ107" s="192"/>
      <c r="BA107" s="192"/>
      <c r="BB107" s="192"/>
      <c r="BC107" s="192"/>
      <c r="BD107" s="192"/>
      <c r="BE107" s="192"/>
      <c r="BF107" s="160"/>
      <c r="BG107" s="206"/>
      <c r="BH107" s="160"/>
      <c r="BI107" s="160"/>
      <c r="BJ107" s="160"/>
      <c r="BK107" s="206"/>
      <c r="BL107" s="192"/>
      <c r="BM107" s="192"/>
      <c r="BN107" s="206"/>
      <c r="BO107" s="192"/>
      <c r="BP107" s="192"/>
      <c r="BQ107" s="206"/>
      <c r="BR107" s="192"/>
      <c r="BS107" s="192"/>
      <c r="BT107" s="192"/>
      <c r="BU107" s="192"/>
      <c r="BV107" s="192"/>
      <c r="BW107" s="192"/>
      <c r="BX107" s="192"/>
      <c r="BY107" s="160"/>
      <c r="BZ107" s="206"/>
      <c r="CA107" s="160"/>
      <c r="CB107" s="160"/>
      <c r="CC107" s="206"/>
      <c r="CD107" s="206"/>
      <c r="CE107" s="206"/>
      <c r="CF107" s="206"/>
      <c r="CG107" s="206"/>
      <c r="CH107" s="206"/>
      <c r="CI107" s="206"/>
      <c r="CJ107" s="206"/>
      <c r="CK107" s="192"/>
      <c r="CL107" s="192"/>
      <c r="CM107" s="192"/>
      <c r="CN107" s="192"/>
      <c r="CO107" s="192"/>
      <c r="CP107" s="192"/>
      <c r="CQ107" s="192"/>
      <c r="CR107" s="160"/>
      <c r="CS107" s="160"/>
      <c r="CT107" s="160"/>
      <c r="CU107" s="160"/>
      <c r="CV107" s="160"/>
      <c r="CW107" s="160"/>
      <c r="CX107" s="192"/>
      <c r="CY107" s="192"/>
      <c r="CZ107" s="192"/>
      <c r="DA107" s="192"/>
      <c r="DB107" s="192"/>
      <c r="DC107" s="192"/>
      <c r="DD107" s="192"/>
      <c r="DE107" s="192"/>
      <c r="DF107" s="192"/>
      <c r="DG107" s="205"/>
      <c r="DH107" s="205"/>
      <c r="DI107" s="205"/>
      <c r="DJ107" s="192"/>
      <c r="DK107" s="192"/>
      <c r="DL107" s="192"/>
      <c r="DM107" s="10"/>
      <c r="DN107" s="10"/>
      <c r="DO107" s="10"/>
      <c r="DP107" s="10"/>
      <c r="DQ107" s="10"/>
      <c r="DR107" s="10"/>
    </row>
    <row r="108" spans="1:122" ht="15.75" customHeight="1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92"/>
      <c r="S108" s="192"/>
      <c r="T108" s="160"/>
      <c r="U108" s="160"/>
      <c r="V108" s="160"/>
      <c r="W108" s="160"/>
      <c r="X108" s="160"/>
      <c r="Y108" s="160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60"/>
      <c r="AN108" s="206"/>
      <c r="AO108" s="160"/>
      <c r="AP108" s="160"/>
      <c r="AQ108" s="160"/>
      <c r="AR108" s="160"/>
      <c r="AS108" s="192"/>
      <c r="AT108" s="192"/>
      <c r="AU108" s="212"/>
      <c r="AV108" s="212"/>
      <c r="AW108" s="212"/>
      <c r="AX108" s="212"/>
      <c r="AY108" s="192"/>
      <c r="AZ108" s="192"/>
      <c r="BA108" s="192"/>
      <c r="BB108" s="192"/>
      <c r="BC108" s="192"/>
      <c r="BD108" s="192"/>
      <c r="BE108" s="192"/>
      <c r="BF108" s="160"/>
      <c r="BG108" s="206"/>
      <c r="BH108" s="160"/>
      <c r="BI108" s="160"/>
      <c r="BJ108" s="160"/>
      <c r="BK108" s="206"/>
      <c r="BL108" s="192"/>
      <c r="BM108" s="192"/>
      <c r="BN108" s="206"/>
      <c r="BO108" s="192"/>
      <c r="BP108" s="192"/>
      <c r="BQ108" s="206"/>
      <c r="BR108" s="192"/>
      <c r="BS108" s="192"/>
      <c r="BT108" s="192"/>
      <c r="BU108" s="192"/>
      <c r="BV108" s="192"/>
      <c r="BW108" s="192"/>
      <c r="BX108" s="192"/>
      <c r="BY108" s="160"/>
      <c r="BZ108" s="206"/>
      <c r="CA108" s="160"/>
      <c r="CB108" s="160"/>
      <c r="CC108" s="206"/>
      <c r="CD108" s="206"/>
      <c r="CE108" s="206"/>
      <c r="CF108" s="206"/>
      <c r="CG108" s="206"/>
      <c r="CH108" s="206"/>
      <c r="CI108" s="206"/>
      <c r="CJ108" s="206"/>
      <c r="CK108" s="192"/>
      <c r="CL108" s="192"/>
      <c r="CM108" s="192"/>
      <c r="CN108" s="192"/>
      <c r="CO108" s="192"/>
      <c r="CP108" s="192"/>
      <c r="CQ108" s="192"/>
      <c r="CR108" s="160"/>
      <c r="CS108" s="160"/>
      <c r="CT108" s="160"/>
      <c r="CU108" s="160"/>
      <c r="CV108" s="160"/>
      <c r="CW108" s="160"/>
      <c r="CX108" s="192"/>
      <c r="CY108" s="192"/>
      <c r="CZ108" s="192"/>
      <c r="DA108" s="192"/>
      <c r="DB108" s="192"/>
      <c r="DC108" s="192"/>
      <c r="DD108" s="192"/>
      <c r="DE108" s="192"/>
      <c r="DF108" s="192"/>
      <c r="DG108" s="205"/>
      <c r="DH108" s="205"/>
      <c r="DI108" s="205"/>
      <c r="DJ108" s="192"/>
      <c r="DK108" s="192"/>
      <c r="DL108" s="192"/>
      <c r="DM108" s="10"/>
      <c r="DN108" s="10"/>
      <c r="DO108" s="10"/>
      <c r="DP108" s="10"/>
      <c r="DQ108" s="10"/>
      <c r="DR108" s="10"/>
    </row>
    <row r="109" spans="1:122" ht="15.75" customHeight="1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92"/>
      <c r="S109" s="192"/>
      <c r="T109" s="160"/>
      <c r="U109" s="160"/>
      <c r="V109" s="160"/>
      <c r="W109" s="160"/>
      <c r="X109" s="160"/>
      <c r="Y109" s="160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60"/>
      <c r="AN109" s="206"/>
      <c r="AO109" s="160"/>
      <c r="AP109" s="160"/>
      <c r="AQ109" s="160"/>
      <c r="AR109" s="160"/>
      <c r="AS109" s="192"/>
      <c r="AT109" s="192"/>
      <c r="AU109" s="212"/>
      <c r="AV109" s="212"/>
      <c r="AW109" s="212"/>
      <c r="AX109" s="212"/>
      <c r="AY109" s="192"/>
      <c r="AZ109" s="192"/>
      <c r="BA109" s="192"/>
      <c r="BB109" s="192"/>
      <c r="BC109" s="192"/>
      <c r="BD109" s="192"/>
      <c r="BE109" s="192"/>
      <c r="BF109" s="160"/>
      <c r="BG109" s="206"/>
      <c r="BH109" s="160"/>
      <c r="BI109" s="160"/>
      <c r="BJ109" s="160"/>
      <c r="BK109" s="206"/>
      <c r="BL109" s="192"/>
      <c r="BM109" s="192"/>
      <c r="BN109" s="206"/>
      <c r="BO109" s="192"/>
      <c r="BP109" s="192"/>
      <c r="BQ109" s="206"/>
      <c r="BR109" s="192"/>
      <c r="BS109" s="192"/>
      <c r="BT109" s="192"/>
      <c r="BU109" s="192"/>
      <c r="BV109" s="192"/>
      <c r="BW109" s="192"/>
      <c r="BX109" s="192"/>
      <c r="BY109" s="160"/>
      <c r="BZ109" s="206"/>
      <c r="CA109" s="160"/>
      <c r="CB109" s="160"/>
      <c r="CC109" s="206"/>
      <c r="CD109" s="206"/>
      <c r="CE109" s="206"/>
      <c r="CF109" s="206"/>
      <c r="CG109" s="206"/>
      <c r="CH109" s="206"/>
      <c r="CI109" s="206"/>
      <c r="CJ109" s="206"/>
      <c r="CK109" s="192"/>
      <c r="CL109" s="192"/>
      <c r="CM109" s="192"/>
      <c r="CN109" s="192"/>
      <c r="CO109" s="192"/>
      <c r="CP109" s="192"/>
      <c r="CQ109" s="192"/>
      <c r="CR109" s="160"/>
      <c r="CS109" s="160"/>
      <c r="CT109" s="160"/>
      <c r="CU109" s="160"/>
      <c r="CV109" s="160"/>
      <c r="CW109" s="160"/>
      <c r="CX109" s="192"/>
      <c r="CY109" s="192"/>
      <c r="CZ109" s="192"/>
      <c r="DA109" s="192"/>
      <c r="DB109" s="192"/>
      <c r="DC109" s="192"/>
      <c r="DD109" s="192"/>
      <c r="DE109" s="192"/>
      <c r="DF109" s="192"/>
      <c r="DG109" s="205"/>
      <c r="DH109" s="205"/>
      <c r="DI109" s="205"/>
      <c r="DJ109" s="192"/>
      <c r="DK109" s="192"/>
      <c r="DL109" s="192"/>
      <c r="DM109" s="10"/>
      <c r="DN109" s="10"/>
      <c r="DO109" s="10"/>
      <c r="DP109" s="10"/>
      <c r="DQ109" s="10"/>
      <c r="DR109" s="10"/>
    </row>
    <row r="110" spans="1:122" ht="15.75" customHeight="1">
      <c r="A110" s="209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92"/>
      <c r="S110" s="192"/>
      <c r="T110" s="209"/>
      <c r="U110" s="160"/>
      <c r="V110" s="160"/>
      <c r="W110" s="160"/>
      <c r="X110" s="160"/>
      <c r="Y110" s="160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209"/>
      <c r="AN110" s="206"/>
      <c r="AO110" s="160"/>
      <c r="AP110" s="160"/>
      <c r="AQ110" s="160"/>
      <c r="AR110" s="160"/>
      <c r="AS110" s="192"/>
      <c r="AT110" s="192"/>
      <c r="AU110" s="212"/>
      <c r="AV110" s="212"/>
      <c r="AW110" s="212"/>
      <c r="AX110" s="212"/>
      <c r="AY110" s="192"/>
      <c r="AZ110" s="192"/>
      <c r="BA110" s="192"/>
      <c r="BB110" s="192"/>
      <c r="BC110" s="192"/>
      <c r="BD110" s="192"/>
      <c r="BE110" s="192"/>
      <c r="BF110" s="209"/>
      <c r="BG110" s="206"/>
      <c r="BH110" s="160"/>
      <c r="BI110" s="160"/>
      <c r="BJ110" s="160"/>
      <c r="BK110" s="206"/>
      <c r="BL110" s="192"/>
      <c r="BM110" s="192"/>
      <c r="BN110" s="206"/>
      <c r="BO110" s="192"/>
      <c r="BP110" s="192"/>
      <c r="BQ110" s="206"/>
      <c r="BR110" s="192"/>
      <c r="BS110" s="192"/>
      <c r="BT110" s="192"/>
      <c r="BU110" s="192"/>
      <c r="BV110" s="192"/>
      <c r="BW110" s="192"/>
      <c r="BX110" s="192"/>
      <c r="BY110" s="209"/>
      <c r="BZ110" s="206"/>
      <c r="CA110" s="160"/>
      <c r="CB110" s="160"/>
      <c r="CC110" s="206"/>
      <c r="CD110" s="206"/>
      <c r="CE110" s="206"/>
      <c r="CF110" s="206"/>
      <c r="CG110" s="206"/>
      <c r="CH110" s="206"/>
      <c r="CI110" s="206"/>
      <c r="CJ110" s="206"/>
      <c r="CK110" s="192"/>
      <c r="CL110" s="192"/>
      <c r="CM110" s="192"/>
      <c r="CN110" s="192"/>
      <c r="CO110" s="192"/>
      <c r="CP110" s="192"/>
      <c r="CQ110" s="192"/>
      <c r="CR110" s="209"/>
      <c r="CS110" s="160"/>
      <c r="CT110" s="160"/>
      <c r="CU110" s="160"/>
      <c r="CV110" s="160"/>
      <c r="CW110" s="160"/>
      <c r="CX110" s="192"/>
      <c r="CY110" s="192"/>
      <c r="CZ110" s="192"/>
      <c r="DA110" s="192"/>
      <c r="DB110" s="192"/>
      <c r="DC110" s="192"/>
      <c r="DD110" s="192"/>
      <c r="DE110" s="192"/>
      <c r="DF110" s="192"/>
      <c r="DG110" s="205"/>
      <c r="DH110" s="205"/>
      <c r="DI110" s="205"/>
      <c r="DJ110" s="192"/>
      <c r="DK110" s="192"/>
      <c r="DL110" s="192"/>
      <c r="DM110" s="10"/>
      <c r="DN110" s="10"/>
      <c r="DO110" s="10"/>
      <c r="DP110" s="10"/>
      <c r="DQ110" s="10"/>
      <c r="DR110" s="10"/>
    </row>
    <row r="111" spans="1:122" ht="15.75" customHeight="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92"/>
      <c r="S111" s="192"/>
      <c r="T111" s="160"/>
      <c r="U111" s="160"/>
      <c r="V111" s="160"/>
      <c r="W111" s="160"/>
      <c r="X111" s="160"/>
      <c r="Y111" s="160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60"/>
      <c r="AN111" s="160"/>
      <c r="AO111" s="160"/>
      <c r="AP111" s="160"/>
      <c r="AQ111" s="160"/>
      <c r="AR111" s="160"/>
      <c r="AS111" s="192"/>
      <c r="AT111" s="192"/>
      <c r="AU111" s="212"/>
      <c r="AV111" s="212"/>
      <c r="AW111" s="212"/>
      <c r="AX111" s="212"/>
      <c r="AY111" s="192"/>
      <c r="AZ111" s="192"/>
      <c r="BA111" s="192"/>
      <c r="BB111" s="192"/>
      <c r="BC111" s="192"/>
      <c r="BD111" s="192"/>
      <c r="BE111" s="192"/>
      <c r="BF111" s="160"/>
      <c r="BG111" s="160"/>
      <c r="BH111" s="160"/>
      <c r="BI111" s="160"/>
      <c r="BJ111" s="160"/>
      <c r="BK111" s="206"/>
      <c r="BL111" s="192"/>
      <c r="BM111" s="192"/>
      <c r="BN111" s="206"/>
      <c r="BO111" s="192"/>
      <c r="BP111" s="192"/>
      <c r="BQ111" s="206"/>
      <c r="BR111" s="192"/>
      <c r="BS111" s="192"/>
      <c r="BT111" s="192"/>
      <c r="BU111" s="192"/>
      <c r="BV111" s="192"/>
      <c r="BW111" s="192"/>
      <c r="BX111" s="192"/>
      <c r="BY111" s="160"/>
      <c r="BZ111" s="160"/>
      <c r="CA111" s="160"/>
      <c r="CB111" s="160"/>
      <c r="CC111" s="206"/>
      <c r="CD111" s="206"/>
      <c r="CE111" s="206"/>
      <c r="CF111" s="206"/>
      <c r="CG111" s="206"/>
      <c r="CH111" s="206"/>
      <c r="CI111" s="206"/>
      <c r="CJ111" s="206"/>
      <c r="CK111" s="192"/>
      <c r="CL111" s="192"/>
      <c r="CM111" s="192"/>
      <c r="CN111" s="192"/>
      <c r="CO111" s="192"/>
      <c r="CP111" s="192"/>
      <c r="CQ111" s="192"/>
      <c r="CR111" s="160"/>
      <c r="CS111" s="160"/>
      <c r="CT111" s="160"/>
      <c r="CU111" s="160"/>
      <c r="CV111" s="160"/>
      <c r="CW111" s="160"/>
      <c r="CX111" s="192"/>
      <c r="CY111" s="192"/>
      <c r="CZ111" s="192"/>
      <c r="DA111" s="192"/>
      <c r="DB111" s="192"/>
      <c r="DC111" s="192"/>
      <c r="DD111" s="192"/>
      <c r="DE111" s="192"/>
      <c r="DF111" s="192"/>
      <c r="DG111" s="205"/>
      <c r="DH111" s="205"/>
      <c r="DI111" s="205"/>
      <c r="DJ111" s="192"/>
      <c r="DK111" s="192"/>
      <c r="DL111" s="192"/>
      <c r="DM111" s="10"/>
      <c r="DN111" s="10"/>
      <c r="DO111" s="10"/>
      <c r="DP111" s="10"/>
      <c r="DQ111" s="10"/>
      <c r="DR111" s="10"/>
    </row>
    <row r="112" spans="1:122" ht="15.75" customHeight="1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92"/>
      <c r="S112" s="192"/>
      <c r="T112" s="160"/>
      <c r="U112" s="160"/>
      <c r="V112" s="160"/>
      <c r="W112" s="160"/>
      <c r="X112" s="160"/>
      <c r="Y112" s="160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60"/>
      <c r="AN112" s="160"/>
      <c r="AO112" s="160"/>
      <c r="AP112" s="160"/>
      <c r="AQ112" s="160"/>
      <c r="AR112" s="160"/>
      <c r="AS112" s="192"/>
      <c r="AT112" s="192"/>
      <c r="AU112" s="212"/>
      <c r="AV112" s="212"/>
      <c r="AW112" s="212"/>
      <c r="AX112" s="212"/>
      <c r="AY112" s="192"/>
      <c r="AZ112" s="192"/>
      <c r="BA112" s="192"/>
      <c r="BB112" s="192"/>
      <c r="BC112" s="192"/>
      <c r="BD112" s="192"/>
      <c r="BE112" s="192"/>
      <c r="BF112" s="160"/>
      <c r="BG112" s="160"/>
      <c r="BH112" s="160"/>
      <c r="BI112" s="160"/>
      <c r="BJ112" s="160"/>
      <c r="BK112" s="206"/>
      <c r="BL112" s="192"/>
      <c r="BM112" s="192"/>
      <c r="BN112" s="206"/>
      <c r="BO112" s="192"/>
      <c r="BP112" s="192"/>
      <c r="BQ112" s="206"/>
      <c r="BR112" s="192"/>
      <c r="BS112" s="192"/>
      <c r="BT112" s="192"/>
      <c r="BU112" s="192"/>
      <c r="BV112" s="192"/>
      <c r="BW112" s="192"/>
      <c r="BX112" s="192"/>
      <c r="BY112" s="160"/>
      <c r="BZ112" s="160"/>
      <c r="CA112" s="160"/>
      <c r="CB112" s="160"/>
      <c r="CC112" s="206"/>
      <c r="CD112" s="206"/>
      <c r="CE112" s="206"/>
      <c r="CF112" s="206"/>
      <c r="CG112" s="206"/>
      <c r="CH112" s="206"/>
      <c r="CI112" s="206"/>
      <c r="CJ112" s="206"/>
      <c r="CK112" s="192"/>
      <c r="CL112" s="192"/>
      <c r="CM112" s="192"/>
      <c r="CN112" s="192"/>
      <c r="CO112" s="192"/>
      <c r="CP112" s="192"/>
      <c r="CQ112" s="192"/>
      <c r="CR112" s="160"/>
      <c r="CS112" s="160"/>
      <c r="CT112" s="160"/>
      <c r="CU112" s="160"/>
      <c r="CV112" s="160"/>
      <c r="CW112" s="160"/>
      <c r="CX112" s="192"/>
      <c r="CY112" s="192"/>
      <c r="CZ112" s="192"/>
      <c r="DA112" s="192"/>
      <c r="DB112" s="192"/>
      <c r="DC112" s="192"/>
      <c r="DD112" s="192"/>
      <c r="DE112" s="192"/>
      <c r="DF112" s="192"/>
      <c r="DG112" s="205"/>
      <c r="DH112" s="205"/>
      <c r="DI112" s="205"/>
      <c r="DJ112" s="192"/>
      <c r="DK112" s="192"/>
      <c r="DL112" s="192"/>
      <c r="DM112" s="10"/>
      <c r="DN112" s="10"/>
      <c r="DO112" s="10"/>
      <c r="DP112" s="10"/>
      <c r="DQ112" s="10"/>
      <c r="DR112" s="10"/>
    </row>
    <row r="113" spans="1:122" ht="15.75" customHeight="1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92"/>
      <c r="S113" s="192"/>
      <c r="T113" s="160"/>
      <c r="U113" s="160"/>
      <c r="V113" s="160"/>
      <c r="W113" s="160"/>
      <c r="X113" s="160"/>
      <c r="Y113" s="160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60"/>
      <c r="AN113" s="160"/>
      <c r="AO113" s="160"/>
      <c r="AP113" s="160"/>
      <c r="AQ113" s="160"/>
      <c r="AR113" s="160"/>
      <c r="AS113" s="192"/>
      <c r="AT113" s="192"/>
      <c r="AU113" s="212"/>
      <c r="AV113" s="212"/>
      <c r="AW113" s="212"/>
      <c r="AX113" s="212"/>
      <c r="AY113" s="192"/>
      <c r="AZ113" s="192"/>
      <c r="BA113" s="192"/>
      <c r="BB113" s="192"/>
      <c r="BC113" s="192"/>
      <c r="BD113" s="192"/>
      <c r="BE113" s="192"/>
      <c r="BF113" s="160"/>
      <c r="BG113" s="160"/>
      <c r="BH113" s="160"/>
      <c r="BI113" s="160"/>
      <c r="BJ113" s="160"/>
      <c r="BK113" s="206"/>
      <c r="BL113" s="192"/>
      <c r="BM113" s="192"/>
      <c r="BN113" s="192"/>
      <c r="BO113" s="192"/>
      <c r="BP113" s="192"/>
      <c r="BQ113" s="192"/>
      <c r="BR113" s="192"/>
      <c r="BS113" s="192"/>
      <c r="BT113" s="192"/>
      <c r="BU113" s="192"/>
      <c r="BV113" s="192"/>
      <c r="BW113" s="192"/>
      <c r="BX113" s="192"/>
      <c r="BY113" s="160"/>
      <c r="BZ113" s="160"/>
      <c r="CA113" s="160"/>
      <c r="CB113" s="160"/>
      <c r="CC113" s="206"/>
      <c r="CD113" s="206"/>
      <c r="CE113" s="206"/>
      <c r="CF113" s="206"/>
      <c r="CG113" s="206"/>
      <c r="CH113" s="206"/>
      <c r="CI113" s="206"/>
      <c r="CJ113" s="206"/>
      <c r="CK113" s="192"/>
      <c r="CL113" s="192"/>
      <c r="CM113" s="192"/>
      <c r="CN113" s="192"/>
      <c r="CO113" s="192"/>
      <c r="CP113" s="192"/>
      <c r="CQ113" s="192"/>
      <c r="CR113" s="160"/>
      <c r="CS113" s="160"/>
      <c r="CT113" s="160"/>
      <c r="CU113" s="160"/>
      <c r="CV113" s="160"/>
      <c r="CW113" s="160"/>
      <c r="CX113" s="192"/>
      <c r="CY113" s="192"/>
      <c r="CZ113" s="192"/>
      <c r="DA113" s="192"/>
      <c r="DB113" s="192"/>
      <c r="DC113" s="192"/>
      <c r="DD113" s="192"/>
      <c r="DE113" s="192"/>
      <c r="DF113" s="192"/>
      <c r="DG113" s="205"/>
      <c r="DH113" s="205"/>
      <c r="DI113" s="205"/>
      <c r="DJ113" s="192"/>
      <c r="DK113" s="192"/>
      <c r="DL113" s="192"/>
      <c r="DM113" s="10"/>
      <c r="DN113" s="10"/>
      <c r="DO113" s="10"/>
      <c r="DP113" s="10"/>
      <c r="DQ113" s="10"/>
      <c r="DR113" s="10"/>
    </row>
    <row r="114" spans="1:122" ht="15.75" customHeight="1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92"/>
      <c r="S114" s="192"/>
      <c r="T114" s="160"/>
      <c r="U114" s="160"/>
      <c r="V114" s="160"/>
      <c r="W114" s="160"/>
      <c r="X114" s="160"/>
      <c r="Y114" s="160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60"/>
      <c r="AN114" s="160"/>
      <c r="AO114" s="160"/>
      <c r="AP114" s="160"/>
      <c r="AQ114" s="160"/>
      <c r="AR114" s="160"/>
      <c r="AS114" s="192"/>
      <c r="AT114" s="192"/>
      <c r="AU114" s="212"/>
      <c r="AV114" s="212"/>
      <c r="AW114" s="212"/>
      <c r="AX114" s="212"/>
      <c r="AY114" s="192"/>
      <c r="AZ114" s="192"/>
      <c r="BA114" s="192"/>
      <c r="BB114" s="192"/>
      <c r="BC114" s="192"/>
      <c r="BD114" s="192"/>
      <c r="BE114" s="192"/>
      <c r="BF114" s="160"/>
      <c r="BG114" s="160"/>
      <c r="BH114" s="160"/>
      <c r="BI114" s="160"/>
      <c r="BJ114" s="160"/>
      <c r="BK114" s="206"/>
      <c r="BL114" s="192"/>
      <c r="BM114" s="192"/>
      <c r="BN114" s="192"/>
      <c r="BO114" s="192"/>
      <c r="BP114" s="192"/>
      <c r="BQ114" s="192"/>
      <c r="BR114" s="192"/>
      <c r="BS114" s="192"/>
      <c r="BT114" s="192"/>
      <c r="BU114" s="192"/>
      <c r="BV114" s="192"/>
      <c r="BW114" s="192"/>
      <c r="BX114" s="192"/>
      <c r="BY114" s="160"/>
      <c r="BZ114" s="160"/>
      <c r="CA114" s="160"/>
      <c r="CB114" s="160"/>
      <c r="CC114" s="206"/>
      <c r="CD114" s="206"/>
      <c r="CE114" s="206"/>
      <c r="CF114" s="206"/>
      <c r="CG114" s="206"/>
      <c r="CH114" s="206"/>
      <c r="CI114" s="206"/>
      <c r="CJ114" s="206"/>
      <c r="CK114" s="192"/>
      <c r="CL114" s="192"/>
      <c r="CM114" s="192"/>
      <c r="CN114" s="192"/>
      <c r="CO114" s="192"/>
      <c r="CP114" s="192"/>
      <c r="CQ114" s="192"/>
      <c r="CR114" s="160"/>
      <c r="CS114" s="160"/>
      <c r="CT114" s="160"/>
      <c r="CU114" s="160"/>
      <c r="CV114" s="160"/>
      <c r="CW114" s="160"/>
      <c r="CX114" s="192"/>
      <c r="CY114" s="192"/>
      <c r="CZ114" s="192"/>
      <c r="DA114" s="192"/>
      <c r="DB114" s="192"/>
      <c r="DC114" s="192"/>
      <c r="DD114" s="192"/>
      <c r="DE114" s="192"/>
      <c r="DF114" s="192"/>
      <c r="DG114" s="205"/>
      <c r="DH114" s="205"/>
      <c r="DI114" s="205"/>
      <c r="DJ114" s="192"/>
      <c r="DK114" s="192"/>
      <c r="DL114" s="192"/>
      <c r="DM114" s="10"/>
      <c r="DN114" s="10"/>
      <c r="DO114" s="10"/>
      <c r="DP114" s="10"/>
      <c r="DQ114" s="10"/>
      <c r="DR114" s="10"/>
    </row>
    <row r="115" spans="1:122" ht="15.75" customHeight="1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92"/>
      <c r="S115" s="192"/>
      <c r="T115" s="160"/>
      <c r="U115" s="160"/>
      <c r="V115" s="160"/>
      <c r="W115" s="160"/>
      <c r="X115" s="160"/>
      <c r="Y115" s="160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60"/>
      <c r="AN115" s="160"/>
      <c r="AO115" s="160"/>
      <c r="AP115" s="160"/>
      <c r="AQ115" s="160"/>
      <c r="AR115" s="160"/>
      <c r="AS115" s="192"/>
      <c r="AT115" s="192"/>
      <c r="AU115" s="212"/>
      <c r="AV115" s="212"/>
      <c r="AW115" s="212"/>
      <c r="AX115" s="212"/>
      <c r="AY115" s="192"/>
      <c r="AZ115" s="192"/>
      <c r="BA115" s="192"/>
      <c r="BB115" s="192"/>
      <c r="BC115" s="192"/>
      <c r="BD115" s="192"/>
      <c r="BE115" s="192"/>
      <c r="BF115" s="160"/>
      <c r="BG115" s="160"/>
      <c r="BH115" s="160"/>
      <c r="BI115" s="160"/>
      <c r="BJ115" s="160"/>
      <c r="BK115" s="206"/>
      <c r="BL115" s="192"/>
      <c r="BM115" s="192"/>
      <c r="BN115" s="192"/>
      <c r="BO115" s="192"/>
      <c r="BP115" s="192"/>
      <c r="BQ115" s="192"/>
      <c r="BR115" s="192"/>
      <c r="BS115" s="192"/>
      <c r="BT115" s="192"/>
      <c r="BU115" s="192"/>
      <c r="BV115" s="192"/>
      <c r="BW115" s="192"/>
      <c r="BX115" s="192"/>
      <c r="BY115" s="160"/>
      <c r="BZ115" s="160"/>
      <c r="CA115" s="160"/>
      <c r="CB115" s="160"/>
      <c r="CC115" s="206"/>
      <c r="CD115" s="206"/>
      <c r="CE115" s="206"/>
      <c r="CF115" s="206"/>
      <c r="CG115" s="206"/>
      <c r="CH115" s="206"/>
      <c r="CI115" s="206"/>
      <c r="CJ115" s="206"/>
      <c r="CK115" s="192"/>
      <c r="CL115" s="192"/>
      <c r="CM115" s="192"/>
      <c r="CN115" s="192"/>
      <c r="CO115" s="192"/>
      <c r="CP115" s="192"/>
      <c r="CQ115" s="192"/>
      <c r="CR115" s="160"/>
      <c r="CS115" s="160"/>
      <c r="CT115" s="160"/>
      <c r="CU115" s="160"/>
      <c r="CV115" s="160"/>
      <c r="CW115" s="160"/>
      <c r="CX115" s="192"/>
      <c r="CY115" s="192"/>
      <c r="CZ115" s="192"/>
      <c r="DA115" s="192"/>
      <c r="DB115" s="192"/>
      <c r="DC115" s="192"/>
      <c r="DD115" s="192"/>
      <c r="DE115" s="192"/>
      <c r="DF115" s="192"/>
      <c r="DG115" s="205"/>
      <c r="DH115" s="205"/>
      <c r="DI115" s="205"/>
      <c r="DJ115" s="192"/>
      <c r="DK115" s="192"/>
      <c r="DL115" s="192"/>
      <c r="DM115" s="10"/>
      <c r="DN115" s="10"/>
      <c r="DO115" s="10"/>
      <c r="DP115" s="10"/>
      <c r="DQ115" s="10"/>
      <c r="DR115" s="10"/>
    </row>
    <row r="116" spans="1:122" ht="15.75" customHeight="1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92"/>
      <c r="S116" s="192"/>
      <c r="T116" s="160"/>
      <c r="U116" s="160"/>
      <c r="V116" s="160"/>
      <c r="W116" s="160"/>
      <c r="X116" s="160"/>
      <c r="Y116" s="160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60"/>
      <c r="AN116" s="160"/>
      <c r="AO116" s="160"/>
      <c r="AP116" s="160"/>
      <c r="AQ116" s="160"/>
      <c r="AR116" s="160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60"/>
      <c r="BG116" s="160"/>
      <c r="BH116" s="160"/>
      <c r="BI116" s="160"/>
      <c r="BJ116" s="160"/>
      <c r="BK116" s="160"/>
      <c r="BL116" s="192"/>
      <c r="BM116" s="192"/>
      <c r="BN116" s="192"/>
      <c r="BO116" s="192"/>
      <c r="BP116" s="192"/>
      <c r="BQ116" s="192"/>
      <c r="BR116" s="192"/>
      <c r="BS116" s="192"/>
      <c r="BT116" s="192"/>
      <c r="BU116" s="192"/>
      <c r="BV116" s="192"/>
      <c r="BW116" s="192"/>
      <c r="BX116" s="192"/>
      <c r="BY116" s="160"/>
      <c r="BZ116" s="160"/>
      <c r="CA116" s="160"/>
      <c r="CB116" s="160"/>
      <c r="CC116" s="160"/>
      <c r="CD116" s="160"/>
      <c r="CE116" s="192"/>
      <c r="CF116" s="192"/>
      <c r="CG116" s="192"/>
      <c r="CH116" s="192"/>
      <c r="CI116" s="192"/>
      <c r="CJ116" s="192"/>
      <c r="CK116" s="192"/>
      <c r="CL116" s="192"/>
      <c r="CM116" s="192"/>
      <c r="CN116" s="192"/>
      <c r="CO116" s="192"/>
      <c r="CP116" s="192"/>
      <c r="CQ116" s="192"/>
      <c r="CR116" s="160"/>
      <c r="CS116" s="160"/>
      <c r="CT116" s="160"/>
      <c r="CU116" s="160"/>
      <c r="CV116" s="160"/>
      <c r="CW116" s="160"/>
      <c r="CX116" s="192"/>
      <c r="CY116" s="192"/>
      <c r="CZ116" s="192"/>
      <c r="DA116" s="192"/>
      <c r="DB116" s="192"/>
      <c r="DC116" s="192"/>
      <c r="DD116" s="192"/>
      <c r="DE116" s="192"/>
      <c r="DF116" s="192"/>
      <c r="DG116" s="205"/>
      <c r="DH116" s="205"/>
      <c r="DI116" s="205"/>
      <c r="DJ116" s="192"/>
      <c r="DK116" s="192"/>
      <c r="DL116" s="192"/>
      <c r="DM116" s="10"/>
      <c r="DN116" s="10"/>
      <c r="DO116" s="10"/>
      <c r="DP116" s="10"/>
      <c r="DQ116" s="10"/>
      <c r="DR116" s="10"/>
    </row>
    <row r="117" spans="1:122" ht="15.75" customHeight="1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92"/>
      <c r="S117" s="192"/>
      <c r="T117" s="160"/>
      <c r="U117" s="160"/>
      <c r="V117" s="160"/>
      <c r="W117" s="160"/>
      <c r="X117" s="160"/>
      <c r="Y117" s="160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60"/>
      <c r="AN117" s="160"/>
      <c r="AO117" s="160"/>
      <c r="AP117" s="160"/>
      <c r="AQ117" s="160"/>
      <c r="AR117" s="160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60"/>
      <c r="BG117" s="160"/>
      <c r="BH117" s="160"/>
      <c r="BI117" s="160"/>
      <c r="BJ117" s="160"/>
      <c r="BK117" s="160"/>
      <c r="BL117" s="192"/>
      <c r="BM117" s="192"/>
      <c r="BN117" s="192"/>
      <c r="BO117" s="192"/>
      <c r="BP117" s="192"/>
      <c r="BQ117" s="192"/>
      <c r="BR117" s="192"/>
      <c r="BS117" s="192"/>
      <c r="BT117" s="192"/>
      <c r="BU117" s="192"/>
      <c r="BV117" s="192"/>
      <c r="BW117" s="192"/>
      <c r="BX117" s="192"/>
      <c r="BY117" s="160"/>
      <c r="BZ117" s="160"/>
      <c r="CA117" s="160"/>
      <c r="CB117" s="160"/>
      <c r="CC117" s="160"/>
      <c r="CD117" s="160"/>
      <c r="CE117" s="192"/>
      <c r="CF117" s="192"/>
      <c r="CG117" s="192"/>
      <c r="CH117" s="192"/>
      <c r="CI117" s="192"/>
      <c r="CJ117" s="192"/>
      <c r="CK117" s="192"/>
      <c r="CL117" s="192"/>
      <c r="CM117" s="192"/>
      <c r="CN117" s="192"/>
      <c r="CO117" s="192"/>
      <c r="CP117" s="192"/>
      <c r="CQ117" s="192"/>
      <c r="CR117" s="160"/>
      <c r="CS117" s="160"/>
      <c r="CT117" s="160"/>
      <c r="CU117" s="160"/>
      <c r="CV117" s="160"/>
      <c r="CW117" s="160"/>
      <c r="CX117" s="192"/>
      <c r="CY117" s="192"/>
      <c r="CZ117" s="192"/>
      <c r="DA117" s="192"/>
      <c r="DB117" s="192"/>
      <c r="DC117" s="192"/>
      <c r="DD117" s="192"/>
      <c r="DE117" s="192"/>
      <c r="DF117" s="192"/>
      <c r="DG117" s="205"/>
      <c r="DH117" s="205"/>
      <c r="DI117" s="205"/>
      <c r="DJ117" s="192"/>
      <c r="DK117" s="192"/>
      <c r="DL117" s="192"/>
      <c r="DM117" s="10"/>
      <c r="DN117" s="10"/>
      <c r="DO117" s="10"/>
      <c r="DP117" s="10"/>
      <c r="DQ117" s="10"/>
      <c r="DR117" s="10"/>
    </row>
    <row r="118" spans="1:122" ht="15.75" customHeight="1">
      <c r="A118" s="161"/>
      <c r="B118" s="161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92"/>
      <c r="S118" s="192"/>
      <c r="T118" s="161"/>
      <c r="U118" s="161"/>
      <c r="V118" s="160"/>
      <c r="W118" s="160"/>
      <c r="X118" s="160"/>
      <c r="Y118" s="160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61"/>
      <c r="AN118" s="161"/>
      <c r="AO118" s="160"/>
      <c r="AP118" s="160"/>
      <c r="AQ118" s="160"/>
      <c r="AR118" s="160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  <c r="BD118" s="192"/>
      <c r="BE118" s="192"/>
      <c r="BF118" s="161"/>
      <c r="BG118" s="161"/>
      <c r="BH118" s="160"/>
      <c r="BI118" s="160"/>
      <c r="BJ118" s="160"/>
      <c r="BK118" s="160"/>
      <c r="BL118" s="192"/>
      <c r="BM118" s="192"/>
      <c r="BN118" s="192"/>
      <c r="BO118" s="192"/>
      <c r="BP118" s="192"/>
      <c r="BQ118" s="192"/>
      <c r="BR118" s="192"/>
      <c r="BS118" s="192"/>
      <c r="BT118" s="192"/>
      <c r="BU118" s="192"/>
      <c r="BV118" s="192"/>
      <c r="BW118" s="192"/>
      <c r="BX118" s="192"/>
      <c r="BY118" s="161"/>
      <c r="BZ118" s="161"/>
      <c r="CA118" s="160"/>
      <c r="CB118" s="160"/>
      <c r="CC118" s="160"/>
      <c r="CD118" s="160"/>
      <c r="CE118" s="192"/>
      <c r="CF118" s="192"/>
      <c r="CG118" s="192"/>
      <c r="CH118" s="192"/>
      <c r="CI118" s="192"/>
      <c r="CJ118" s="192"/>
      <c r="CK118" s="192"/>
      <c r="CL118" s="192"/>
      <c r="CM118" s="192"/>
      <c r="CN118" s="192"/>
      <c r="CO118" s="192"/>
      <c r="CP118" s="192"/>
      <c r="CQ118" s="192"/>
      <c r="CR118" s="161"/>
      <c r="CS118" s="161"/>
      <c r="CT118" s="160"/>
      <c r="CU118" s="160"/>
      <c r="CV118" s="160"/>
      <c r="CW118" s="160"/>
      <c r="CX118" s="192"/>
      <c r="CY118" s="192"/>
      <c r="CZ118" s="192"/>
      <c r="DA118" s="192"/>
      <c r="DB118" s="192"/>
      <c r="DC118" s="192"/>
      <c r="DD118" s="192"/>
      <c r="DE118" s="192"/>
      <c r="DF118" s="192"/>
      <c r="DG118" s="205"/>
      <c r="DH118" s="205"/>
      <c r="DI118" s="205"/>
      <c r="DJ118" s="192"/>
      <c r="DK118" s="192"/>
      <c r="DL118" s="192"/>
      <c r="DM118" s="10"/>
      <c r="DN118" s="10"/>
      <c r="DO118" s="10"/>
      <c r="DP118" s="10"/>
      <c r="DQ118" s="10"/>
      <c r="DR118" s="10"/>
    </row>
    <row r="119" spans="1:122" ht="15.75" customHeight="1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92"/>
      <c r="S119" s="192"/>
      <c r="T119" s="160"/>
      <c r="U119" s="160"/>
      <c r="V119" s="160"/>
      <c r="W119" s="160"/>
      <c r="X119" s="160"/>
      <c r="Y119" s="160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60"/>
      <c r="AN119" s="160"/>
      <c r="AO119" s="160"/>
      <c r="AP119" s="160"/>
      <c r="AQ119" s="160"/>
      <c r="AR119" s="160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  <c r="BD119" s="192"/>
      <c r="BE119" s="192"/>
      <c r="BF119" s="160"/>
      <c r="BG119" s="160"/>
      <c r="BH119" s="160"/>
      <c r="BI119" s="160"/>
      <c r="BJ119" s="160"/>
      <c r="BK119" s="160"/>
      <c r="BL119" s="192"/>
      <c r="BM119" s="192"/>
      <c r="BN119" s="192"/>
      <c r="BO119" s="192"/>
      <c r="BP119" s="192"/>
      <c r="BQ119" s="192"/>
      <c r="BR119" s="192"/>
      <c r="BS119" s="192"/>
      <c r="BT119" s="192"/>
      <c r="BU119" s="192"/>
      <c r="BV119" s="192"/>
      <c r="BW119" s="192"/>
      <c r="BX119" s="192"/>
      <c r="BY119" s="160"/>
      <c r="BZ119" s="160"/>
      <c r="CA119" s="160"/>
      <c r="CB119" s="160"/>
      <c r="CC119" s="160"/>
      <c r="CD119" s="160"/>
      <c r="CE119" s="192"/>
      <c r="CF119" s="192"/>
      <c r="CG119" s="192"/>
      <c r="CH119" s="192"/>
      <c r="CI119" s="192"/>
      <c r="CJ119" s="192"/>
      <c r="CK119" s="192"/>
      <c r="CL119" s="192"/>
      <c r="CM119" s="192"/>
      <c r="CN119" s="192"/>
      <c r="CO119" s="192"/>
      <c r="CP119" s="192"/>
      <c r="CQ119" s="192"/>
      <c r="CR119" s="160"/>
      <c r="CS119" s="160"/>
      <c r="CT119" s="160"/>
      <c r="CU119" s="160"/>
      <c r="CV119" s="160"/>
      <c r="CW119" s="160"/>
      <c r="CX119" s="192"/>
      <c r="CY119" s="192"/>
      <c r="CZ119" s="192"/>
      <c r="DA119" s="192"/>
      <c r="DB119" s="192"/>
      <c r="DC119" s="192"/>
      <c r="DD119" s="192"/>
      <c r="DE119" s="192"/>
      <c r="DF119" s="192"/>
      <c r="DG119" s="205"/>
      <c r="DH119" s="205"/>
      <c r="DI119" s="205"/>
      <c r="DJ119" s="192"/>
      <c r="DK119" s="192"/>
      <c r="DL119" s="192"/>
      <c r="DM119" s="10"/>
      <c r="DN119" s="10"/>
      <c r="DO119" s="10"/>
      <c r="DP119" s="10"/>
      <c r="DQ119" s="10"/>
      <c r="DR119" s="10"/>
    </row>
    <row r="120" spans="1:122" ht="15.75" customHeight="1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92"/>
      <c r="S120" s="192"/>
      <c r="T120" s="160"/>
      <c r="U120" s="160"/>
      <c r="V120" s="160"/>
      <c r="W120" s="160"/>
      <c r="X120" s="160"/>
      <c r="Y120" s="160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60"/>
      <c r="AN120" s="160"/>
      <c r="AO120" s="160"/>
      <c r="AP120" s="160"/>
      <c r="AQ120" s="160"/>
      <c r="AR120" s="160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  <c r="BD120" s="192"/>
      <c r="BE120" s="192"/>
      <c r="BF120" s="160"/>
      <c r="BG120" s="160"/>
      <c r="BH120" s="160"/>
      <c r="BI120" s="160"/>
      <c r="BJ120" s="160"/>
      <c r="BK120" s="160"/>
      <c r="BL120" s="192"/>
      <c r="BM120" s="192"/>
      <c r="BN120" s="192"/>
      <c r="BO120" s="192"/>
      <c r="BP120" s="192"/>
      <c r="BQ120" s="192"/>
      <c r="BR120" s="192"/>
      <c r="BS120" s="192"/>
      <c r="BT120" s="192"/>
      <c r="BU120" s="192"/>
      <c r="BV120" s="192"/>
      <c r="BW120" s="192"/>
      <c r="BX120" s="192"/>
      <c r="BY120" s="160"/>
      <c r="BZ120" s="160"/>
      <c r="CA120" s="160"/>
      <c r="CB120" s="160"/>
      <c r="CC120" s="160"/>
      <c r="CD120" s="160"/>
      <c r="CE120" s="192"/>
      <c r="CF120" s="192"/>
      <c r="CG120" s="192"/>
      <c r="CH120" s="192"/>
      <c r="CI120" s="192"/>
      <c r="CJ120" s="192"/>
      <c r="CK120" s="192"/>
      <c r="CL120" s="192"/>
      <c r="CM120" s="192"/>
      <c r="CN120" s="192"/>
      <c r="CO120" s="192"/>
      <c r="CP120" s="192"/>
      <c r="CQ120" s="192"/>
      <c r="CR120" s="160"/>
      <c r="CS120" s="160"/>
      <c r="CT120" s="160"/>
      <c r="CU120" s="160"/>
      <c r="CV120" s="160"/>
      <c r="CW120" s="160"/>
      <c r="CX120" s="192"/>
      <c r="CY120" s="192"/>
      <c r="CZ120" s="192"/>
      <c r="DA120" s="192"/>
      <c r="DB120" s="192"/>
      <c r="DC120" s="192"/>
      <c r="DD120" s="192"/>
      <c r="DE120" s="192"/>
      <c r="DF120" s="192"/>
      <c r="DG120" s="205"/>
      <c r="DH120" s="205"/>
      <c r="DI120" s="205"/>
      <c r="DJ120" s="192"/>
      <c r="DK120" s="192"/>
      <c r="DL120" s="192"/>
      <c r="DM120" s="10"/>
      <c r="DN120" s="10"/>
      <c r="DO120" s="10"/>
      <c r="DP120" s="10"/>
      <c r="DQ120" s="10"/>
      <c r="DR120" s="10"/>
    </row>
    <row r="121" spans="1:122" ht="15.75" customHeight="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92"/>
      <c r="S121" s="192"/>
      <c r="T121" s="160"/>
      <c r="U121" s="160"/>
      <c r="V121" s="160"/>
      <c r="W121" s="160"/>
      <c r="X121" s="160"/>
      <c r="Y121" s="160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60"/>
      <c r="AN121" s="160"/>
      <c r="AO121" s="160"/>
      <c r="AP121" s="160"/>
      <c r="AQ121" s="160"/>
      <c r="AR121" s="160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  <c r="BD121" s="192"/>
      <c r="BE121" s="192"/>
      <c r="BF121" s="160"/>
      <c r="BG121" s="160"/>
      <c r="BH121" s="160"/>
      <c r="BI121" s="160"/>
      <c r="BJ121" s="160"/>
      <c r="BK121" s="160"/>
      <c r="BL121" s="192"/>
      <c r="BM121" s="192"/>
      <c r="BN121" s="192"/>
      <c r="BO121" s="192"/>
      <c r="BP121" s="192"/>
      <c r="BQ121" s="192"/>
      <c r="BR121" s="192"/>
      <c r="BS121" s="192"/>
      <c r="BT121" s="192"/>
      <c r="BU121" s="192"/>
      <c r="BV121" s="192"/>
      <c r="BW121" s="192"/>
      <c r="BX121" s="192"/>
      <c r="BY121" s="160"/>
      <c r="BZ121" s="160"/>
      <c r="CA121" s="160"/>
      <c r="CB121" s="160"/>
      <c r="CC121" s="160"/>
      <c r="CD121" s="160"/>
      <c r="CE121" s="192"/>
      <c r="CF121" s="192"/>
      <c r="CG121" s="192"/>
      <c r="CH121" s="192"/>
      <c r="CI121" s="192"/>
      <c r="CJ121" s="192"/>
      <c r="CK121" s="192"/>
      <c r="CL121" s="192"/>
      <c r="CM121" s="192"/>
      <c r="CN121" s="192"/>
      <c r="CO121" s="192"/>
      <c r="CP121" s="192"/>
      <c r="CQ121" s="192"/>
      <c r="CR121" s="160"/>
      <c r="CS121" s="160"/>
      <c r="CT121" s="160"/>
      <c r="CU121" s="160"/>
      <c r="CV121" s="160"/>
      <c r="CW121" s="160"/>
      <c r="CX121" s="192"/>
      <c r="CY121" s="192"/>
      <c r="CZ121" s="192"/>
      <c r="DA121" s="192"/>
      <c r="DB121" s="192"/>
      <c r="DC121" s="192"/>
      <c r="DD121" s="192"/>
      <c r="DE121" s="192"/>
      <c r="DF121" s="192"/>
      <c r="DG121" s="205"/>
      <c r="DH121" s="205"/>
      <c r="DI121" s="205"/>
      <c r="DJ121" s="192"/>
      <c r="DK121" s="192"/>
      <c r="DL121" s="192"/>
      <c r="DM121" s="10"/>
      <c r="DN121" s="10"/>
      <c r="DO121" s="10"/>
      <c r="DP121" s="10"/>
      <c r="DQ121" s="10"/>
      <c r="DR121" s="10"/>
    </row>
    <row r="122" spans="1:122" ht="15.75" customHeight="1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92"/>
      <c r="S122" s="192"/>
      <c r="T122" s="160"/>
      <c r="U122" s="160"/>
      <c r="V122" s="160"/>
      <c r="W122" s="160"/>
      <c r="X122" s="160"/>
      <c r="Y122" s="160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60"/>
      <c r="AN122" s="160"/>
      <c r="AO122" s="160"/>
      <c r="AP122" s="160"/>
      <c r="AQ122" s="160"/>
      <c r="AR122" s="160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  <c r="BD122" s="192"/>
      <c r="BE122" s="192"/>
      <c r="BF122" s="160"/>
      <c r="BG122" s="160"/>
      <c r="BH122" s="160"/>
      <c r="BI122" s="160"/>
      <c r="BJ122" s="160"/>
      <c r="BK122" s="160"/>
      <c r="BL122" s="192"/>
      <c r="BM122" s="192"/>
      <c r="BN122" s="192"/>
      <c r="BO122" s="192"/>
      <c r="BP122" s="192"/>
      <c r="BQ122" s="192"/>
      <c r="BR122" s="192"/>
      <c r="BS122" s="192"/>
      <c r="BT122" s="192"/>
      <c r="BU122" s="192"/>
      <c r="BV122" s="192"/>
      <c r="BW122" s="192"/>
      <c r="BX122" s="192"/>
      <c r="BY122" s="160"/>
      <c r="BZ122" s="160"/>
      <c r="CA122" s="160"/>
      <c r="CB122" s="160"/>
      <c r="CC122" s="160"/>
      <c r="CD122" s="160"/>
      <c r="CE122" s="192"/>
      <c r="CF122" s="192"/>
      <c r="CG122" s="192"/>
      <c r="CH122" s="192"/>
      <c r="CI122" s="192"/>
      <c r="CJ122" s="192"/>
      <c r="CK122" s="192"/>
      <c r="CL122" s="192"/>
      <c r="CM122" s="192"/>
      <c r="CN122" s="192"/>
      <c r="CO122" s="192"/>
      <c r="CP122" s="192"/>
      <c r="CQ122" s="192"/>
      <c r="CR122" s="160"/>
      <c r="CS122" s="160"/>
      <c r="CT122" s="160"/>
      <c r="CU122" s="160"/>
      <c r="CV122" s="160"/>
      <c r="CW122" s="160"/>
      <c r="CX122" s="192"/>
      <c r="CY122" s="192"/>
      <c r="CZ122" s="192"/>
      <c r="DA122" s="192"/>
      <c r="DB122" s="192"/>
      <c r="DC122" s="192"/>
      <c r="DD122" s="192"/>
      <c r="DE122" s="192"/>
      <c r="DF122" s="192"/>
      <c r="DG122" s="205"/>
      <c r="DH122" s="205"/>
      <c r="DI122" s="205"/>
      <c r="DJ122" s="192"/>
      <c r="DK122" s="192"/>
      <c r="DL122" s="192"/>
      <c r="DM122" s="10"/>
      <c r="DN122" s="10"/>
      <c r="DO122" s="10"/>
      <c r="DP122" s="10"/>
      <c r="DQ122" s="10"/>
      <c r="DR122" s="10"/>
    </row>
    <row r="123" spans="1:122" ht="15.75" customHeight="1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92"/>
      <c r="S123" s="192"/>
      <c r="T123" s="160"/>
      <c r="U123" s="160"/>
      <c r="V123" s="160"/>
      <c r="W123" s="160"/>
      <c r="X123" s="160"/>
      <c r="Y123" s="160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60"/>
      <c r="AN123" s="160"/>
      <c r="AO123" s="160"/>
      <c r="AP123" s="160"/>
      <c r="AQ123" s="160"/>
      <c r="AR123" s="160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  <c r="BD123" s="192"/>
      <c r="BE123" s="192"/>
      <c r="BF123" s="160"/>
      <c r="BG123" s="160"/>
      <c r="BH123" s="160"/>
      <c r="BI123" s="160"/>
      <c r="BJ123" s="160"/>
      <c r="BK123" s="160"/>
      <c r="BL123" s="192"/>
      <c r="BM123" s="192"/>
      <c r="BN123" s="192"/>
      <c r="BO123" s="192"/>
      <c r="BP123" s="192"/>
      <c r="BQ123" s="192"/>
      <c r="BR123" s="192"/>
      <c r="BS123" s="192"/>
      <c r="BT123" s="192"/>
      <c r="BU123" s="192"/>
      <c r="BV123" s="192"/>
      <c r="BW123" s="192"/>
      <c r="BX123" s="192"/>
      <c r="BY123" s="160"/>
      <c r="BZ123" s="160"/>
      <c r="CA123" s="160"/>
      <c r="CB123" s="160"/>
      <c r="CC123" s="160"/>
      <c r="CD123" s="160"/>
      <c r="CE123" s="192"/>
      <c r="CF123" s="192"/>
      <c r="CG123" s="192"/>
      <c r="CH123" s="192"/>
      <c r="CI123" s="192"/>
      <c r="CJ123" s="192"/>
      <c r="CK123" s="192"/>
      <c r="CL123" s="192"/>
      <c r="CM123" s="192"/>
      <c r="CN123" s="192"/>
      <c r="CO123" s="192"/>
      <c r="CP123" s="192"/>
      <c r="CQ123" s="192"/>
      <c r="CR123" s="160"/>
      <c r="CS123" s="160"/>
      <c r="CT123" s="160"/>
      <c r="CU123" s="160"/>
      <c r="CV123" s="160"/>
      <c r="CW123" s="160"/>
      <c r="CX123" s="192"/>
      <c r="CY123" s="192"/>
      <c r="CZ123" s="192"/>
      <c r="DA123" s="192"/>
      <c r="DB123" s="192"/>
      <c r="DC123" s="192"/>
      <c r="DD123" s="192"/>
      <c r="DE123" s="192"/>
      <c r="DF123" s="192"/>
      <c r="DG123" s="205"/>
      <c r="DH123" s="205"/>
      <c r="DI123" s="205"/>
      <c r="DJ123" s="192"/>
      <c r="DK123" s="192"/>
      <c r="DL123" s="192"/>
      <c r="DM123" s="10"/>
      <c r="DN123" s="10"/>
      <c r="DO123" s="10"/>
      <c r="DP123" s="10"/>
      <c r="DQ123" s="10"/>
      <c r="DR123" s="10"/>
    </row>
    <row r="124" spans="1:122" ht="15.75" customHeight="1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92"/>
      <c r="S124" s="192"/>
      <c r="T124" s="160"/>
      <c r="U124" s="160"/>
      <c r="V124" s="160"/>
      <c r="W124" s="160"/>
      <c r="X124" s="160"/>
      <c r="Y124" s="160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60"/>
      <c r="AN124" s="160"/>
      <c r="AO124" s="160"/>
      <c r="AP124" s="160"/>
      <c r="AQ124" s="160"/>
      <c r="AR124" s="160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  <c r="BD124" s="192"/>
      <c r="BE124" s="192"/>
      <c r="BF124" s="160"/>
      <c r="BG124" s="160"/>
      <c r="BH124" s="160"/>
      <c r="BI124" s="160"/>
      <c r="BJ124" s="160"/>
      <c r="BK124" s="160"/>
      <c r="BL124" s="192"/>
      <c r="BM124" s="192"/>
      <c r="BN124" s="192"/>
      <c r="BO124" s="192"/>
      <c r="BP124" s="192"/>
      <c r="BQ124" s="192"/>
      <c r="BR124" s="192"/>
      <c r="BS124" s="192"/>
      <c r="BT124" s="192"/>
      <c r="BU124" s="192"/>
      <c r="BV124" s="192"/>
      <c r="BW124" s="192"/>
      <c r="BX124" s="192"/>
      <c r="BY124" s="160"/>
      <c r="BZ124" s="160"/>
      <c r="CA124" s="160"/>
      <c r="CB124" s="160"/>
      <c r="CC124" s="160"/>
      <c r="CD124" s="160"/>
      <c r="CE124" s="192"/>
      <c r="CF124" s="192"/>
      <c r="CG124" s="192"/>
      <c r="CH124" s="192"/>
      <c r="CI124" s="192"/>
      <c r="CJ124" s="192"/>
      <c r="CK124" s="192"/>
      <c r="CL124" s="192"/>
      <c r="CM124" s="192"/>
      <c r="CN124" s="192"/>
      <c r="CO124" s="192"/>
      <c r="CP124" s="192"/>
      <c r="CQ124" s="192"/>
      <c r="CR124" s="160"/>
      <c r="CS124" s="160"/>
      <c r="CT124" s="160"/>
      <c r="CU124" s="160"/>
      <c r="CV124" s="160"/>
      <c r="CW124" s="160"/>
      <c r="CX124" s="192"/>
      <c r="CY124" s="192"/>
      <c r="CZ124" s="192"/>
      <c r="DA124" s="192"/>
      <c r="DB124" s="192"/>
      <c r="DC124" s="192"/>
      <c r="DD124" s="192"/>
      <c r="DE124" s="192"/>
      <c r="DF124" s="192"/>
      <c r="DG124" s="205"/>
      <c r="DH124" s="205"/>
      <c r="DI124" s="205"/>
      <c r="DJ124" s="192"/>
      <c r="DK124" s="192"/>
      <c r="DL124" s="192"/>
      <c r="DM124" s="10"/>
      <c r="DN124" s="10"/>
      <c r="DO124" s="10"/>
      <c r="DP124" s="10"/>
      <c r="DQ124" s="10"/>
      <c r="DR124" s="10"/>
    </row>
    <row r="125" spans="1:122" ht="15.75" customHeight="1">
      <c r="A125" s="160"/>
      <c r="B125" s="161"/>
      <c r="C125" s="161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92"/>
      <c r="S125" s="192"/>
      <c r="T125" s="160"/>
      <c r="U125" s="161"/>
      <c r="V125" s="161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60"/>
      <c r="AN125" s="161"/>
      <c r="AO125" s="161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  <c r="BD125" s="192"/>
      <c r="BE125" s="192"/>
      <c r="BF125" s="160"/>
      <c r="BG125" s="161"/>
      <c r="BH125" s="161"/>
      <c r="BI125" s="192"/>
      <c r="BJ125" s="192"/>
      <c r="BK125" s="192"/>
      <c r="BL125" s="192"/>
      <c r="BM125" s="192"/>
      <c r="BN125" s="192"/>
      <c r="BO125" s="192"/>
      <c r="BP125" s="192"/>
      <c r="BQ125" s="192"/>
      <c r="BR125" s="192"/>
      <c r="BS125" s="192"/>
      <c r="BT125" s="192"/>
      <c r="BU125" s="192"/>
      <c r="BV125" s="192"/>
      <c r="BW125" s="192"/>
      <c r="BX125" s="192"/>
      <c r="BY125" s="160"/>
      <c r="BZ125" s="161"/>
      <c r="CA125" s="161"/>
      <c r="CB125" s="192"/>
      <c r="CC125" s="192"/>
      <c r="CD125" s="192"/>
      <c r="CE125" s="192"/>
      <c r="CF125" s="192"/>
      <c r="CG125" s="192"/>
      <c r="CH125" s="192"/>
      <c r="CI125" s="192"/>
      <c r="CJ125" s="192"/>
      <c r="CK125" s="192"/>
      <c r="CL125" s="192"/>
      <c r="CM125" s="192"/>
      <c r="CN125" s="192"/>
      <c r="CO125" s="192"/>
      <c r="CP125" s="192"/>
      <c r="CQ125" s="192"/>
      <c r="CR125" s="160"/>
      <c r="CS125" s="161"/>
      <c r="CT125" s="161"/>
      <c r="CU125" s="192"/>
      <c r="CV125" s="192"/>
      <c r="CW125" s="192"/>
      <c r="CX125" s="192"/>
      <c r="CY125" s="192"/>
      <c r="CZ125" s="192"/>
      <c r="DA125" s="192"/>
      <c r="DB125" s="192"/>
      <c r="DC125" s="192"/>
      <c r="DD125" s="192"/>
      <c r="DE125" s="192"/>
      <c r="DF125" s="192"/>
      <c r="DG125" s="205"/>
      <c r="DH125" s="205"/>
      <c r="DI125" s="205"/>
      <c r="DJ125" s="192"/>
      <c r="DK125" s="192"/>
      <c r="DL125" s="192"/>
      <c r="DM125" s="10"/>
      <c r="DN125" s="10"/>
      <c r="DO125" s="10"/>
      <c r="DP125" s="10"/>
      <c r="DQ125" s="10"/>
      <c r="DR125" s="10"/>
    </row>
    <row r="126" spans="1:122" ht="15.75" customHeight="1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/>
      <c r="BD126" s="192"/>
      <c r="BE126" s="192"/>
      <c r="BF126" s="192"/>
      <c r="BG126" s="192"/>
      <c r="BH126" s="192"/>
      <c r="BI126" s="192"/>
      <c r="BJ126" s="192"/>
      <c r="BK126" s="192"/>
      <c r="BL126" s="192"/>
      <c r="BM126" s="192"/>
      <c r="BN126" s="192"/>
      <c r="BO126" s="192"/>
      <c r="BP126" s="192"/>
      <c r="BQ126" s="192"/>
      <c r="BR126" s="192"/>
      <c r="BS126" s="192"/>
      <c r="BT126" s="192"/>
      <c r="BU126" s="192"/>
      <c r="BV126" s="192"/>
      <c r="BW126" s="192"/>
      <c r="BX126" s="192"/>
      <c r="BY126" s="192"/>
      <c r="BZ126" s="192"/>
      <c r="CA126" s="192"/>
      <c r="CB126" s="192"/>
      <c r="CC126" s="192"/>
      <c r="CD126" s="192"/>
      <c r="CE126" s="192"/>
      <c r="CF126" s="192"/>
      <c r="CG126" s="192"/>
      <c r="CH126" s="192"/>
      <c r="CI126" s="192"/>
      <c r="CJ126" s="192"/>
      <c r="CK126" s="192"/>
      <c r="CL126" s="192"/>
      <c r="CM126" s="192"/>
      <c r="CN126" s="192"/>
      <c r="CO126" s="192"/>
      <c r="CP126" s="192"/>
      <c r="CQ126" s="192"/>
      <c r="CR126" s="192"/>
      <c r="CS126" s="192"/>
      <c r="CT126" s="192"/>
      <c r="CU126" s="192"/>
      <c r="CV126" s="192"/>
      <c r="CW126" s="192"/>
      <c r="CX126" s="192"/>
      <c r="CY126" s="192"/>
      <c r="CZ126" s="192"/>
      <c r="DA126" s="192"/>
      <c r="DB126" s="192"/>
      <c r="DC126" s="192"/>
      <c r="DD126" s="192"/>
      <c r="DE126" s="192"/>
      <c r="DF126" s="192"/>
      <c r="DG126" s="205"/>
      <c r="DH126" s="205"/>
      <c r="DI126" s="205"/>
      <c r="DJ126" s="192"/>
      <c r="DK126" s="192"/>
      <c r="DL126" s="192"/>
      <c r="DM126" s="10"/>
      <c r="DN126" s="10"/>
      <c r="DO126" s="10"/>
      <c r="DP126" s="10"/>
      <c r="DQ126" s="10"/>
      <c r="DR126" s="10"/>
    </row>
    <row r="127" spans="1:122" ht="15.75" customHeight="1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/>
      <c r="BD127" s="192"/>
      <c r="BE127" s="192"/>
      <c r="BF127" s="192"/>
      <c r="BG127" s="192"/>
      <c r="BH127" s="192"/>
      <c r="BI127" s="192"/>
      <c r="BJ127" s="192"/>
      <c r="BK127" s="192"/>
      <c r="BL127" s="192"/>
      <c r="BM127" s="192"/>
      <c r="BN127" s="192"/>
      <c r="BO127" s="192"/>
      <c r="BP127" s="192"/>
      <c r="BQ127" s="192"/>
      <c r="BR127" s="192"/>
      <c r="BS127" s="192"/>
      <c r="BT127" s="192"/>
      <c r="BU127" s="192"/>
      <c r="BV127" s="192"/>
      <c r="BW127" s="192"/>
      <c r="BX127" s="192"/>
      <c r="BY127" s="192"/>
      <c r="BZ127" s="192"/>
      <c r="CA127" s="192"/>
      <c r="CB127" s="192"/>
      <c r="CC127" s="192"/>
      <c r="CD127" s="192"/>
      <c r="CE127" s="192"/>
      <c r="CF127" s="192"/>
      <c r="CG127" s="192"/>
      <c r="CH127" s="192"/>
      <c r="CI127" s="192"/>
      <c r="CJ127" s="192"/>
      <c r="CK127" s="192"/>
      <c r="CL127" s="192"/>
      <c r="CM127" s="192"/>
      <c r="CN127" s="192"/>
      <c r="CO127" s="192"/>
      <c r="CP127" s="192"/>
      <c r="CQ127" s="192"/>
      <c r="CR127" s="192"/>
      <c r="CS127" s="192"/>
      <c r="CT127" s="192"/>
      <c r="CU127" s="192"/>
      <c r="CV127" s="192"/>
      <c r="CW127" s="192"/>
      <c r="CX127" s="192"/>
      <c r="CY127" s="192"/>
      <c r="CZ127" s="192"/>
      <c r="DA127" s="192"/>
      <c r="DB127" s="192"/>
      <c r="DC127" s="192"/>
      <c r="DD127" s="192"/>
      <c r="DE127" s="192"/>
      <c r="DF127" s="192"/>
      <c r="DG127" s="205"/>
      <c r="DH127" s="205"/>
      <c r="DI127" s="205"/>
      <c r="DJ127" s="192"/>
      <c r="DK127" s="192"/>
      <c r="DL127" s="192"/>
      <c r="DM127" s="10"/>
      <c r="DN127" s="10"/>
      <c r="DO127" s="10"/>
      <c r="DP127" s="10"/>
      <c r="DQ127" s="10"/>
      <c r="DR127" s="10"/>
    </row>
    <row r="128" spans="1:122" ht="15.75" customHeight="1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  <c r="BD128" s="192"/>
      <c r="BE128" s="192"/>
      <c r="BF128" s="192"/>
      <c r="BG128" s="192"/>
      <c r="BH128" s="192"/>
      <c r="BI128" s="192"/>
      <c r="BJ128" s="192"/>
      <c r="BK128" s="192"/>
      <c r="BL128" s="192"/>
      <c r="BM128" s="192"/>
      <c r="BN128" s="192"/>
      <c r="BO128" s="192"/>
      <c r="BP128" s="192"/>
      <c r="BQ128" s="192"/>
      <c r="BR128" s="192"/>
      <c r="BS128" s="192"/>
      <c r="BT128" s="192"/>
      <c r="BU128" s="192"/>
      <c r="BV128" s="192"/>
      <c r="BW128" s="192"/>
      <c r="BX128" s="192"/>
      <c r="BY128" s="192"/>
      <c r="BZ128" s="192"/>
      <c r="CA128" s="192"/>
      <c r="CB128" s="192"/>
      <c r="CC128" s="192"/>
      <c r="CD128" s="192"/>
      <c r="CE128" s="192"/>
      <c r="CF128" s="192"/>
      <c r="CG128" s="192"/>
      <c r="CH128" s="192"/>
      <c r="CI128" s="192"/>
      <c r="CJ128" s="192"/>
      <c r="CK128" s="192"/>
      <c r="CL128" s="192"/>
      <c r="CM128" s="192"/>
      <c r="CN128" s="192"/>
      <c r="CO128" s="192"/>
      <c r="CP128" s="192"/>
      <c r="CQ128" s="192"/>
      <c r="CR128" s="192"/>
      <c r="CS128" s="192"/>
      <c r="CT128" s="192"/>
      <c r="CU128" s="192"/>
      <c r="CV128" s="192"/>
      <c r="CW128" s="192"/>
      <c r="CX128" s="192"/>
      <c r="CY128" s="192"/>
      <c r="CZ128" s="192"/>
      <c r="DA128" s="192"/>
      <c r="DB128" s="192"/>
      <c r="DC128" s="192"/>
      <c r="DD128" s="192"/>
      <c r="DE128" s="192"/>
      <c r="DF128" s="192"/>
      <c r="DG128" s="205"/>
      <c r="DH128" s="205"/>
      <c r="DI128" s="205"/>
      <c r="DJ128" s="192"/>
      <c r="DK128" s="192"/>
      <c r="DL128" s="192"/>
      <c r="DM128" s="10"/>
      <c r="DN128" s="10"/>
      <c r="DO128" s="10"/>
      <c r="DP128" s="10"/>
      <c r="DQ128" s="10"/>
      <c r="DR128" s="10"/>
    </row>
    <row r="129" spans="1:122" ht="15.75" customHeight="1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  <c r="BD129" s="192"/>
      <c r="BE129" s="192"/>
      <c r="BF129" s="192"/>
      <c r="BG129" s="192"/>
      <c r="BH129" s="192"/>
      <c r="BI129" s="192"/>
      <c r="BJ129" s="192"/>
      <c r="BK129" s="192"/>
      <c r="BL129" s="192"/>
      <c r="BM129" s="192"/>
      <c r="BN129" s="192"/>
      <c r="BO129" s="192"/>
      <c r="BP129" s="192"/>
      <c r="BQ129" s="192"/>
      <c r="BR129" s="192"/>
      <c r="BS129" s="192"/>
      <c r="BT129" s="192"/>
      <c r="BU129" s="192"/>
      <c r="BV129" s="192"/>
      <c r="BW129" s="192"/>
      <c r="BX129" s="192"/>
      <c r="BY129" s="192"/>
      <c r="BZ129" s="192"/>
      <c r="CA129" s="192"/>
      <c r="CB129" s="192"/>
      <c r="CC129" s="192"/>
      <c r="CD129" s="192"/>
      <c r="CE129" s="192"/>
      <c r="CF129" s="192"/>
      <c r="CG129" s="192"/>
      <c r="CH129" s="192"/>
      <c r="CI129" s="192"/>
      <c r="CJ129" s="192"/>
      <c r="CK129" s="192"/>
      <c r="CL129" s="192"/>
      <c r="CM129" s="192"/>
      <c r="CN129" s="192"/>
      <c r="CO129" s="192"/>
      <c r="CP129" s="192"/>
      <c r="CQ129" s="192"/>
      <c r="CR129" s="192"/>
      <c r="CS129" s="192"/>
      <c r="CT129" s="192"/>
      <c r="CU129" s="192"/>
      <c r="CV129" s="192"/>
      <c r="CW129" s="192"/>
      <c r="CX129" s="192"/>
      <c r="CY129" s="192"/>
      <c r="CZ129" s="192"/>
      <c r="DA129" s="192"/>
      <c r="DB129" s="192"/>
      <c r="DC129" s="192"/>
      <c r="DD129" s="192"/>
      <c r="DE129" s="192"/>
      <c r="DF129" s="192"/>
      <c r="DG129" s="205"/>
      <c r="DH129" s="205"/>
      <c r="DI129" s="205"/>
      <c r="DJ129" s="192"/>
      <c r="DK129" s="192"/>
      <c r="DL129" s="192"/>
      <c r="DM129" s="10"/>
      <c r="DN129" s="10"/>
      <c r="DO129" s="10"/>
      <c r="DP129" s="10"/>
      <c r="DQ129" s="10"/>
      <c r="DR129" s="10"/>
    </row>
    <row r="130" spans="1:122" ht="15.75" customHeight="1">
      <c r="A130" s="463"/>
      <c r="B130" s="463"/>
      <c r="C130" s="463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92"/>
      <c r="S130" s="192"/>
      <c r="T130" s="455"/>
      <c r="U130" s="455"/>
      <c r="V130" s="455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455"/>
      <c r="AN130" s="455"/>
      <c r="AO130" s="455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  <c r="BD130" s="192"/>
      <c r="BE130" s="192"/>
      <c r="BF130" s="455"/>
      <c r="BG130" s="455"/>
      <c r="BH130" s="455"/>
      <c r="BI130" s="192"/>
      <c r="BJ130" s="192"/>
      <c r="BK130" s="192"/>
      <c r="BL130" s="192"/>
      <c r="BM130" s="192"/>
      <c r="BN130" s="192"/>
      <c r="BO130" s="192"/>
      <c r="BP130" s="192"/>
      <c r="BQ130" s="192"/>
      <c r="BR130" s="192"/>
      <c r="BS130" s="192"/>
      <c r="BT130" s="192"/>
      <c r="BU130" s="192"/>
      <c r="BV130" s="192"/>
      <c r="BW130" s="192"/>
      <c r="BX130" s="192"/>
      <c r="BY130" s="455"/>
      <c r="BZ130" s="455"/>
      <c r="CA130" s="455"/>
      <c r="CB130" s="192"/>
      <c r="CC130" s="192"/>
      <c r="CD130" s="192"/>
      <c r="CE130" s="192"/>
      <c r="CF130" s="192"/>
      <c r="CG130" s="192"/>
      <c r="CH130" s="192"/>
      <c r="CI130" s="192"/>
      <c r="CJ130" s="192"/>
      <c r="CK130" s="192"/>
      <c r="CL130" s="192"/>
      <c r="CM130" s="192"/>
      <c r="CN130" s="192"/>
      <c r="CO130" s="192"/>
      <c r="CP130" s="192"/>
      <c r="CQ130" s="192"/>
      <c r="CR130" s="455"/>
      <c r="CS130" s="455"/>
      <c r="CT130" s="455"/>
      <c r="CU130" s="192"/>
      <c r="CV130" s="192"/>
      <c r="CW130" s="192"/>
      <c r="CX130" s="192"/>
      <c r="CY130" s="192"/>
      <c r="CZ130" s="192"/>
      <c r="DA130" s="192"/>
      <c r="DB130" s="192"/>
      <c r="DC130" s="192"/>
      <c r="DD130" s="192"/>
      <c r="DE130" s="192"/>
      <c r="DF130" s="192"/>
      <c r="DG130" s="205"/>
      <c r="DH130" s="205"/>
      <c r="DI130" s="205"/>
      <c r="DJ130" s="192"/>
      <c r="DK130" s="192"/>
      <c r="DL130" s="192"/>
      <c r="DM130" s="10"/>
      <c r="DN130" s="10"/>
      <c r="DO130" s="10"/>
      <c r="DP130" s="10"/>
      <c r="DQ130" s="10"/>
      <c r="DR130" s="10"/>
    </row>
    <row r="131" spans="1:122" ht="15.75" customHeight="1">
      <c r="A131" s="211"/>
      <c r="B131" s="211"/>
      <c r="C131" s="211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92"/>
      <c r="S131" s="192"/>
      <c r="T131" s="213"/>
      <c r="U131" s="213"/>
      <c r="V131" s="213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213"/>
      <c r="AN131" s="213"/>
      <c r="AO131" s="213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  <c r="BD131" s="192"/>
      <c r="BE131" s="192"/>
      <c r="BF131" s="213"/>
      <c r="BG131" s="213"/>
      <c r="BH131" s="213"/>
      <c r="BI131" s="192"/>
      <c r="BJ131" s="192"/>
      <c r="BK131" s="192"/>
      <c r="BL131" s="192"/>
      <c r="BM131" s="192"/>
      <c r="BN131" s="192"/>
      <c r="BO131" s="192"/>
      <c r="BP131" s="192"/>
      <c r="BQ131" s="192"/>
      <c r="BR131" s="192"/>
      <c r="BS131" s="192"/>
      <c r="BT131" s="192"/>
      <c r="BU131" s="192"/>
      <c r="BV131" s="192"/>
      <c r="BW131" s="192"/>
      <c r="BX131" s="192"/>
      <c r="BY131" s="213"/>
      <c r="BZ131" s="213"/>
      <c r="CA131" s="213"/>
      <c r="CB131" s="192"/>
      <c r="CC131" s="192"/>
      <c r="CD131" s="192"/>
      <c r="CE131" s="192"/>
      <c r="CF131" s="192"/>
      <c r="CG131" s="192"/>
      <c r="CH131" s="192"/>
      <c r="CI131" s="192"/>
      <c r="CJ131" s="192"/>
      <c r="CK131" s="192"/>
      <c r="CL131" s="192"/>
      <c r="CM131" s="192"/>
      <c r="CN131" s="192"/>
      <c r="CO131" s="192"/>
      <c r="CP131" s="192"/>
      <c r="CQ131" s="192"/>
      <c r="CR131" s="213"/>
      <c r="CS131" s="213"/>
      <c r="CT131" s="213"/>
      <c r="CU131" s="192"/>
      <c r="CV131" s="192"/>
      <c r="CW131" s="192"/>
      <c r="CX131" s="192"/>
      <c r="CY131" s="192"/>
      <c r="CZ131" s="192"/>
      <c r="DA131" s="192"/>
      <c r="DB131" s="192"/>
      <c r="DC131" s="192"/>
      <c r="DD131" s="192"/>
      <c r="DE131" s="192"/>
      <c r="DF131" s="192"/>
      <c r="DG131" s="205"/>
      <c r="DH131" s="205"/>
      <c r="DI131" s="205"/>
      <c r="DJ131" s="192"/>
      <c r="DK131" s="192"/>
      <c r="DL131" s="192"/>
      <c r="DM131" s="10"/>
      <c r="DN131" s="10"/>
      <c r="DO131" s="10"/>
      <c r="DP131" s="10"/>
      <c r="DQ131" s="10"/>
      <c r="DR131" s="10"/>
    </row>
    <row r="132" spans="1:122" ht="15.75" customHeight="1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92"/>
      <c r="S132" s="192"/>
      <c r="T132" s="192"/>
      <c r="U132" s="160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60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  <c r="BD132" s="192"/>
      <c r="BE132" s="192"/>
      <c r="BF132" s="192"/>
      <c r="BG132" s="160"/>
      <c r="BH132" s="192"/>
      <c r="BI132" s="192"/>
      <c r="BJ132" s="192"/>
      <c r="BK132" s="192"/>
      <c r="BL132" s="192"/>
      <c r="BM132" s="192"/>
      <c r="BN132" s="192"/>
      <c r="BO132" s="192"/>
      <c r="BP132" s="192"/>
      <c r="BQ132" s="192"/>
      <c r="BR132" s="192"/>
      <c r="BS132" s="192"/>
      <c r="BT132" s="192"/>
      <c r="BU132" s="192"/>
      <c r="BV132" s="192"/>
      <c r="BW132" s="192"/>
      <c r="BX132" s="192"/>
      <c r="BY132" s="192"/>
      <c r="BZ132" s="160"/>
      <c r="CA132" s="192"/>
      <c r="CB132" s="192"/>
      <c r="CC132" s="192"/>
      <c r="CD132" s="192"/>
      <c r="CE132" s="192"/>
      <c r="CF132" s="192"/>
      <c r="CG132" s="192"/>
      <c r="CH132" s="192"/>
      <c r="CI132" s="192"/>
      <c r="CJ132" s="192"/>
      <c r="CK132" s="192"/>
      <c r="CL132" s="192"/>
      <c r="CM132" s="192"/>
      <c r="CN132" s="192"/>
      <c r="CO132" s="192"/>
      <c r="CP132" s="192"/>
      <c r="CQ132" s="192"/>
      <c r="CR132" s="192"/>
      <c r="CS132" s="160"/>
      <c r="CT132" s="192"/>
      <c r="CU132" s="192"/>
      <c r="CV132" s="192"/>
      <c r="CW132" s="192"/>
      <c r="CX132" s="192"/>
      <c r="CY132" s="192"/>
      <c r="CZ132" s="192"/>
      <c r="DA132" s="192"/>
      <c r="DB132" s="192"/>
      <c r="DC132" s="192"/>
      <c r="DD132" s="192"/>
      <c r="DE132" s="192"/>
      <c r="DF132" s="192"/>
      <c r="DG132" s="205"/>
      <c r="DH132" s="205"/>
      <c r="DI132" s="205"/>
      <c r="DJ132" s="192"/>
      <c r="DK132" s="192"/>
      <c r="DL132" s="192"/>
      <c r="DM132" s="10"/>
      <c r="DN132" s="10"/>
      <c r="DO132" s="10"/>
      <c r="DP132" s="10"/>
      <c r="DQ132" s="10"/>
      <c r="DR132" s="10"/>
    </row>
    <row r="133" spans="1:122" ht="15.75" customHeight="1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92"/>
      <c r="S133" s="192"/>
      <c r="T133" s="192"/>
      <c r="U133" s="160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60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  <c r="BD133" s="192"/>
      <c r="BE133" s="192"/>
      <c r="BF133" s="192"/>
      <c r="BG133" s="160"/>
      <c r="BH133" s="192"/>
      <c r="BI133" s="192"/>
      <c r="BJ133" s="192"/>
      <c r="BK133" s="192"/>
      <c r="BL133" s="192"/>
      <c r="BM133" s="192"/>
      <c r="BN133" s="192"/>
      <c r="BO133" s="192"/>
      <c r="BP133" s="192"/>
      <c r="BQ133" s="192"/>
      <c r="BR133" s="192"/>
      <c r="BS133" s="192"/>
      <c r="BT133" s="192"/>
      <c r="BU133" s="192"/>
      <c r="BV133" s="192"/>
      <c r="BW133" s="192"/>
      <c r="BX133" s="192"/>
      <c r="BY133" s="192"/>
      <c r="BZ133" s="160"/>
      <c r="CA133" s="192"/>
      <c r="CB133" s="192"/>
      <c r="CC133" s="192"/>
      <c r="CD133" s="192"/>
      <c r="CE133" s="192"/>
      <c r="CF133" s="192"/>
      <c r="CG133" s="192"/>
      <c r="CH133" s="192"/>
      <c r="CI133" s="192"/>
      <c r="CJ133" s="192"/>
      <c r="CK133" s="192"/>
      <c r="CL133" s="192"/>
      <c r="CM133" s="192"/>
      <c r="CN133" s="192"/>
      <c r="CO133" s="192"/>
      <c r="CP133" s="192"/>
      <c r="CQ133" s="192"/>
      <c r="CR133" s="192"/>
      <c r="CS133" s="160"/>
      <c r="CT133" s="192"/>
      <c r="CU133" s="192"/>
      <c r="CV133" s="192"/>
      <c r="CW133" s="192"/>
      <c r="CX133" s="192"/>
      <c r="CY133" s="192"/>
      <c r="CZ133" s="192"/>
      <c r="DA133" s="192"/>
      <c r="DB133" s="192"/>
      <c r="DC133" s="192"/>
      <c r="DD133" s="192"/>
      <c r="DE133" s="192"/>
      <c r="DF133" s="192"/>
      <c r="DG133" s="205"/>
      <c r="DH133" s="205"/>
      <c r="DI133" s="205"/>
      <c r="DJ133" s="192"/>
      <c r="DK133" s="192"/>
      <c r="DL133" s="192"/>
      <c r="DM133" s="10"/>
      <c r="DN133" s="10"/>
      <c r="DO133" s="10"/>
      <c r="DP133" s="10"/>
      <c r="DQ133" s="10"/>
      <c r="DR133" s="10"/>
    </row>
    <row r="134" spans="1:122" ht="15.75" customHeight="1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92"/>
      <c r="S134" s="192"/>
      <c r="T134" s="192"/>
      <c r="U134" s="160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60"/>
      <c r="AO134" s="192"/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  <c r="BD134" s="192"/>
      <c r="BE134" s="192"/>
      <c r="BF134" s="192"/>
      <c r="BG134" s="160"/>
      <c r="BH134" s="192"/>
      <c r="BI134" s="192"/>
      <c r="BJ134" s="192"/>
      <c r="BK134" s="192"/>
      <c r="BL134" s="192"/>
      <c r="BM134" s="192"/>
      <c r="BN134" s="192"/>
      <c r="BO134" s="192"/>
      <c r="BP134" s="192"/>
      <c r="BQ134" s="192"/>
      <c r="BR134" s="192"/>
      <c r="BS134" s="192"/>
      <c r="BT134" s="192"/>
      <c r="BU134" s="192"/>
      <c r="BV134" s="192"/>
      <c r="BW134" s="192"/>
      <c r="BX134" s="192"/>
      <c r="BY134" s="192"/>
      <c r="BZ134" s="160"/>
      <c r="CA134" s="192"/>
      <c r="CB134" s="192"/>
      <c r="CC134" s="192"/>
      <c r="CD134" s="192"/>
      <c r="CE134" s="192"/>
      <c r="CF134" s="192"/>
      <c r="CG134" s="192"/>
      <c r="CH134" s="192"/>
      <c r="CI134" s="192"/>
      <c r="CJ134" s="192"/>
      <c r="CK134" s="192"/>
      <c r="CL134" s="192"/>
      <c r="CM134" s="192"/>
      <c r="CN134" s="192"/>
      <c r="CO134" s="192"/>
      <c r="CP134" s="192"/>
      <c r="CQ134" s="192"/>
      <c r="CR134" s="192"/>
      <c r="CS134" s="160"/>
      <c r="CT134" s="192"/>
      <c r="CU134" s="192"/>
      <c r="CV134" s="192"/>
      <c r="CW134" s="192"/>
      <c r="CX134" s="192"/>
      <c r="CY134" s="192"/>
      <c r="CZ134" s="192"/>
      <c r="DA134" s="192"/>
      <c r="DB134" s="192"/>
      <c r="DC134" s="192"/>
      <c r="DD134" s="192"/>
      <c r="DE134" s="192"/>
      <c r="DF134" s="192"/>
      <c r="DG134" s="205"/>
      <c r="DH134" s="205"/>
      <c r="DI134" s="205"/>
      <c r="DJ134" s="192"/>
      <c r="DK134" s="192"/>
      <c r="DL134" s="192"/>
      <c r="DM134" s="10"/>
      <c r="DN134" s="10"/>
      <c r="DO134" s="10"/>
      <c r="DP134" s="10"/>
      <c r="DQ134" s="10"/>
      <c r="DR134" s="10"/>
    </row>
    <row r="135" spans="1:122" ht="15.75" customHeight="1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92"/>
      <c r="S135" s="192"/>
      <c r="T135" s="192"/>
      <c r="U135" s="160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60"/>
      <c r="AO135" s="192"/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/>
      <c r="BD135" s="192"/>
      <c r="BE135" s="192"/>
      <c r="BF135" s="192"/>
      <c r="BG135" s="160"/>
      <c r="BH135" s="192"/>
      <c r="BI135" s="192"/>
      <c r="BJ135" s="192"/>
      <c r="BK135" s="192"/>
      <c r="BL135" s="192"/>
      <c r="BM135" s="192"/>
      <c r="BN135" s="192"/>
      <c r="BO135" s="192"/>
      <c r="BP135" s="192"/>
      <c r="BQ135" s="192"/>
      <c r="BR135" s="192"/>
      <c r="BS135" s="192"/>
      <c r="BT135" s="192"/>
      <c r="BU135" s="192"/>
      <c r="BV135" s="192"/>
      <c r="BW135" s="192"/>
      <c r="BX135" s="192"/>
      <c r="BY135" s="192"/>
      <c r="BZ135" s="160"/>
      <c r="CA135" s="192"/>
      <c r="CB135" s="192"/>
      <c r="CC135" s="192"/>
      <c r="CD135" s="192"/>
      <c r="CE135" s="192"/>
      <c r="CF135" s="192"/>
      <c r="CG135" s="192"/>
      <c r="CH135" s="192"/>
      <c r="CI135" s="192"/>
      <c r="CJ135" s="192"/>
      <c r="CK135" s="192"/>
      <c r="CL135" s="192"/>
      <c r="CM135" s="192"/>
      <c r="CN135" s="192"/>
      <c r="CO135" s="192"/>
      <c r="CP135" s="192"/>
      <c r="CQ135" s="192"/>
      <c r="CR135" s="192"/>
      <c r="CS135" s="160"/>
      <c r="CT135" s="192"/>
      <c r="CU135" s="192"/>
      <c r="CV135" s="192"/>
      <c r="CW135" s="192"/>
      <c r="CX135" s="192"/>
      <c r="CY135" s="192"/>
      <c r="CZ135" s="192"/>
      <c r="DA135" s="192"/>
      <c r="DB135" s="192"/>
      <c r="DC135" s="192"/>
      <c r="DD135" s="192"/>
      <c r="DE135" s="192"/>
      <c r="DF135" s="192"/>
      <c r="DG135" s="205"/>
      <c r="DH135" s="205"/>
      <c r="DI135" s="205"/>
      <c r="DJ135" s="192"/>
      <c r="DK135" s="192"/>
      <c r="DL135" s="192"/>
      <c r="DM135" s="10"/>
      <c r="DN135" s="10"/>
      <c r="DO135" s="10"/>
      <c r="DP135" s="10"/>
      <c r="DQ135" s="10"/>
      <c r="DR135" s="10"/>
    </row>
    <row r="136" spans="1:122" ht="15.75" customHeight="1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92"/>
      <c r="S136" s="192"/>
      <c r="T136" s="192"/>
      <c r="U136" s="160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60"/>
      <c r="AO136" s="192"/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/>
      <c r="BD136" s="192"/>
      <c r="BE136" s="192"/>
      <c r="BF136" s="192"/>
      <c r="BG136" s="160"/>
      <c r="BH136" s="192"/>
      <c r="BI136" s="192"/>
      <c r="BJ136" s="192"/>
      <c r="BK136" s="192"/>
      <c r="BL136" s="192"/>
      <c r="BM136" s="192"/>
      <c r="BN136" s="192"/>
      <c r="BO136" s="192"/>
      <c r="BP136" s="192"/>
      <c r="BQ136" s="192"/>
      <c r="BR136" s="192"/>
      <c r="BS136" s="192"/>
      <c r="BT136" s="192"/>
      <c r="BU136" s="192"/>
      <c r="BV136" s="192"/>
      <c r="BW136" s="192"/>
      <c r="BX136" s="192"/>
      <c r="BY136" s="192"/>
      <c r="BZ136" s="160"/>
      <c r="CA136" s="192"/>
      <c r="CB136" s="192"/>
      <c r="CC136" s="192"/>
      <c r="CD136" s="192"/>
      <c r="CE136" s="192"/>
      <c r="CF136" s="192"/>
      <c r="CG136" s="192"/>
      <c r="CH136" s="192"/>
      <c r="CI136" s="192"/>
      <c r="CJ136" s="192"/>
      <c r="CK136" s="192"/>
      <c r="CL136" s="192"/>
      <c r="CM136" s="192"/>
      <c r="CN136" s="192"/>
      <c r="CO136" s="192"/>
      <c r="CP136" s="192"/>
      <c r="CQ136" s="192"/>
      <c r="CR136" s="192"/>
      <c r="CS136" s="160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205"/>
      <c r="DH136" s="205"/>
      <c r="DI136" s="205"/>
      <c r="DJ136" s="192"/>
      <c r="DK136" s="192"/>
      <c r="DL136" s="192"/>
      <c r="DM136" s="10"/>
      <c r="DN136" s="10"/>
      <c r="DO136" s="10"/>
      <c r="DP136" s="10"/>
      <c r="DQ136" s="10"/>
      <c r="DR136" s="10"/>
    </row>
    <row r="137" spans="1:122" ht="15.75" customHeight="1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92"/>
      <c r="S137" s="192"/>
      <c r="T137" s="192"/>
      <c r="U137" s="160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60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  <c r="BD137" s="192"/>
      <c r="BE137" s="192"/>
      <c r="BF137" s="192"/>
      <c r="BG137" s="160"/>
      <c r="BH137" s="192"/>
      <c r="BI137" s="192"/>
      <c r="BJ137" s="192"/>
      <c r="BK137" s="192"/>
      <c r="BL137" s="192"/>
      <c r="BM137" s="192"/>
      <c r="BN137" s="192"/>
      <c r="BO137" s="192"/>
      <c r="BP137" s="192"/>
      <c r="BQ137" s="192"/>
      <c r="BR137" s="192"/>
      <c r="BS137" s="192"/>
      <c r="BT137" s="192"/>
      <c r="BU137" s="192"/>
      <c r="BV137" s="192"/>
      <c r="BW137" s="192"/>
      <c r="BX137" s="192"/>
      <c r="BY137" s="192"/>
      <c r="BZ137" s="160"/>
      <c r="CA137" s="192"/>
      <c r="CB137" s="192"/>
      <c r="CC137" s="192"/>
      <c r="CD137" s="192"/>
      <c r="CE137" s="192"/>
      <c r="CF137" s="192"/>
      <c r="CG137" s="192"/>
      <c r="CH137" s="192"/>
      <c r="CI137" s="192"/>
      <c r="CJ137" s="192"/>
      <c r="CK137" s="192"/>
      <c r="CL137" s="192"/>
      <c r="CM137" s="192"/>
      <c r="CN137" s="192"/>
      <c r="CO137" s="192"/>
      <c r="CP137" s="192"/>
      <c r="CQ137" s="192"/>
      <c r="CR137" s="192"/>
      <c r="CS137" s="160"/>
      <c r="CT137" s="192"/>
      <c r="CU137" s="192"/>
      <c r="CV137" s="192"/>
      <c r="CW137" s="192"/>
      <c r="CX137" s="192"/>
      <c r="CY137" s="192"/>
      <c r="CZ137" s="192"/>
      <c r="DA137" s="192"/>
      <c r="DB137" s="192"/>
      <c r="DC137" s="192"/>
      <c r="DD137" s="192"/>
      <c r="DE137" s="192"/>
      <c r="DF137" s="192"/>
      <c r="DG137" s="205"/>
      <c r="DH137" s="205"/>
      <c r="DI137" s="205"/>
      <c r="DJ137" s="192"/>
      <c r="DK137" s="192"/>
      <c r="DL137" s="192"/>
      <c r="DM137" s="10"/>
      <c r="DN137" s="10"/>
      <c r="DO137" s="10"/>
      <c r="DP137" s="10"/>
      <c r="DQ137" s="10"/>
      <c r="DR137" s="10"/>
    </row>
    <row r="138" spans="1:122" ht="15.75" customHeight="1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92"/>
      <c r="S138" s="192"/>
      <c r="T138" s="192"/>
      <c r="U138" s="160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60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  <c r="BD138" s="192"/>
      <c r="BE138" s="192"/>
      <c r="BF138" s="192"/>
      <c r="BG138" s="160"/>
      <c r="BH138" s="192"/>
      <c r="BI138" s="192"/>
      <c r="BJ138" s="192"/>
      <c r="BK138" s="192"/>
      <c r="BL138" s="192"/>
      <c r="BM138" s="192"/>
      <c r="BN138" s="192"/>
      <c r="BO138" s="192"/>
      <c r="BP138" s="192"/>
      <c r="BQ138" s="192"/>
      <c r="BR138" s="192"/>
      <c r="BS138" s="192"/>
      <c r="BT138" s="192"/>
      <c r="BU138" s="192"/>
      <c r="BV138" s="192"/>
      <c r="BW138" s="192"/>
      <c r="BX138" s="192"/>
      <c r="BY138" s="192"/>
      <c r="BZ138" s="160"/>
      <c r="CA138" s="192"/>
      <c r="CB138" s="192"/>
      <c r="CC138" s="192"/>
      <c r="CD138" s="192"/>
      <c r="CE138" s="192"/>
      <c r="CF138" s="192"/>
      <c r="CG138" s="192"/>
      <c r="CH138" s="192"/>
      <c r="CI138" s="192"/>
      <c r="CJ138" s="192"/>
      <c r="CK138" s="192"/>
      <c r="CL138" s="192"/>
      <c r="CM138" s="192"/>
      <c r="CN138" s="192"/>
      <c r="CO138" s="192"/>
      <c r="CP138" s="192"/>
      <c r="CQ138" s="192"/>
      <c r="CR138" s="192"/>
      <c r="CS138" s="160"/>
      <c r="CT138" s="192"/>
      <c r="CU138" s="192"/>
      <c r="CV138" s="192"/>
      <c r="CW138" s="192"/>
      <c r="CX138" s="192"/>
      <c r="CY138" s="192"/>
      <c r="CZ138" s="192"/>
      <c r="DA138" s="192"/>
      <c r="DB138" s="192"/>
      <c r="DC138" s="192"/>
      <c r="DD138" s="192"/>
      <c r="DE138" s="192"/>
      <c r="DF138" s="192"/>
      <c r="DG138" s="205"/>
      <c r="DH138" s="205"/>
      <c r="DI138" s="205"/>
      <c r="DJ138" s="192"/>
      <c r="DK138" s="192"/>
      <c r="DL138" s="192"/>
      <c r="DM138" s="10"/>
      <c r="DN138" s="10"/>
      <c r="DO138" s="10"/>
      <c r="DP138" s="10"/>
      <c r="DQ138" s="10"/>
      <c r="DR138" s="10"/>
    </row>
    <row r="139" spans="1:122" ht="15.75" customHeight="1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92"/>
      <c r="S139" s="192"/>
      <c r="T139" s="192"/>
      <c r="U139" s="160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60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  <c r="BD139" s="192"/>
      <c r="BE139" s="192"/>
      <c r="BF139" s="192"/>
      <c r="BG139" s="160"/>
      <c r="BH139" s="192"/>
      <c r="BI139" s="192"/>
      <c r="BJ139" s="192"/>
      <c r="BK139" s="192"/>
      <c r="BL139" s="192"/>
      <c r="BM139" s="192"/>
      <c r="BN139" s="192"/>
      <c r="BO139" s="192"/>
      <c r="BP139" s="192"/>
      <c r="BQ139" s="192"/>
      <c r="BR139" s="192"/>
      <c r="BS139" s="192"/>
      <c r="BT139" s="192"/>
      <c r="BU139" s="192"/>
      <c r="BV139" s="192"/>
      <c r="BW139" s="192"/>
      <c r="BX139" s="192"/>
      <c r="BY139" s="192"/>
      <c r="BZ139" s="160"/>
      <c r="CA139" s="192"/>
      <c r="CB139" s="192"/>
      <c r="CC139" s="192"/>
      <c r="CD139" s="192"/>
      <c r="CE139" s="192"/>
      <c r="CF139" s="192"/>
      <c r="CG139" s="192"/>
      <c r="CH139" s="192"/>
      <c r="CI139" s="192"/>
      <c r="CJ139" s="192"/>
      <c r="CK139" s="192"/>
      <c r="CL139" s="192"/>
      <c r="CM139" s="192"/>
      <c r="CN139" s="192"/>
      <c r="CO139" s="192"/>
      <c r="CP139" s="192"/>
      <c r="CQ139" s="192"/>
      <c r="CR139" s="192"/>
      <c r="CS139" s="160"/>
      <c r="CT139" s="192"/>
      <c r="CU139" s="192"/>
      <c r="CV139" s="192"/>
      <c r="CW139" s="192"/>
      <c r="CX139" s="192"/>
      <c r="CY139" s="192"/>
      <c r="CZ139" s="192"/>
      <c r="DA139" s="192"/>
      <c r="DB139" s="192"/>
      <c r="DC139" s="192"/>
      <c r="DD139" s="192"/>
      <c r="DE139" s="192"/>
      <c r="DF139" s="192"/>
      <c r="DG139" s="205"/>
      <c r="DH139" s="205"/>
      <c r="DI139" s="205"/>
      <c r="DJ139" s="192"/>
      <c r="DK139" s="192"/>
      <c r="DL139" s="192"/>
      <c r="DM139" s="10"/>
      <c r="DN139" s="10"/>
      <c r="DO139" s="10"/>
      <c r="DP139" s="10"/>
      <c r="DQ139" s="10"/>
      <c r="DR139" s="10"/>
    </row>
    <row r="140" spans="1:122" ht="15.75" customHeight="1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92"/>
      <c r="S140" s="192"/>
      <c r="T140" s="192"/>
      <c r="U140" s="160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60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  <c r="BD140" s="192"/>
      <c r="BE140" s="192"/>
      <c r="BF140" s="192"/>
      <c r="BG140" s="160"/>
      <c r="BH140" s="192"/>
      <c r="BI140" s="192"/>
      <c r="BJ140" s="192"/>
      <c r="BK140" s="192"/>
      <c r="BL140" s="192"/>
      <c r="BM140" s="192"/>
      <c r="BN140" s="192"/>
      <c r="BO140" s="192"/>
      <c r="BP140" s="192"/>
      <c r="BQ140" s="192"/>
      <c r="BR140" s="192"/>
      <c r="BS140" s="192"/>
      <c r="BT140" s="192"/>
      <c r="BU140" s="192"/>
      <c r="BV140" s="192"/>
      <c r="BW140" s="192"/>
      <c r="BX140" s="192"/>
      <c r="BY140" s="192"/>
      <c r="BZ140" s="160"/>
      <c r="CA140" s="192"/>
      <c r="CB140" s="192"/>
      <c r="CC140" s="192"/>
      <c r="CD140" s="192"/>
      <c r="CE140" s="192"/>
      <c r="CF140" s="192"/>
      <c r="CG140" s="192"/>
      <c r="CH140" s="192"/>
      <c r="CI140" s="192"/>
      <c r="CJ140" s="192"/>
      <c r="CK140" s="192"/>
      <c r="CL140" s="192"/>
      <c r="CM140" s="192"/>
      <c r="CN140" s="192"/>
      <c r="CO140" s="192"/>
      <c r="CP140" s="192"/>
      <c r="CQ140" s="192"/>
      <c r="CR140" s="192"/>
      <c r="CS140" s="160"/>
      <c r="CT140" s="192"/>
      <c r="CU140" s="192"/>
      <c r="CV140" s="192"/>
      <c r="CW140" s="192"/>
      <c r="CX140" s="192"/>
      <c r="CY140" s="192"/>
      <c r="CZ140" s="192"/>
      <c r="DA140" s="192"/>
      <c r="DB140" s="192"/>
      <c r="DC140" s="192"/>
      <c r="DD140" s="192"/>
      <c r="DE140" s="192"/>
      <c r="DF140" s="192"/>
      <c r="DG140" s="205"/>
      <c r="DH140" s="205"/>
      <c r="DI140" s="205"/>
      <c r="DJ140" s="192"/>
      <c r="DK140" s="192"/>
      <c r="DL140" s="192"/>
      <c r="DM140" s="10"/>
      <c r="DN140" s="10"/>
      <c r="DO140" s="10"/>
      <c r="DP140" s="10"/>
      <c r="DQ140" s="10"/>
      <c r="DR140" s="10"/>
    </row>
    <row r="141" spans="1:122" ht="15.75" customHeight="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92"/>
      <c r="S141" s="192"/>
      <c r="T141" s="192"/>
      <c r="U141" s="160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60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  <c r="BD141" s="192"/>
      <c r="BE141" s="192"/>
      <c r="BF141" s="192"/>
      <c r="BG141" s="160"/>
      <c r="BH141" s="192"/>
      <c r="BI141" s="192"/>
      <c r="BJ141" s="192"/>
      <c r="BK141" s="192"/>
      <c r="BL141" s="192"/>
      <c r="BM141" s="192"/>
      <c r="BN141" s="192"/>
      <c r="BO141" s="192"/>
      <c r="BP141" s="192"/>
      <c r="BQ141" s="192"/>
      <c r="BR141" s="192"/>
      <c r="BS141" s="192"/>
      <c r="BT141" s="192"/>
      <c r="BU141" s="192"/>
      <c r="BV141" s="192"/>
      <c r="BW141" s="192"/>
      <c r="BX141" s="192"/>
      <c r="BY141" s="192"/>
      <c r="BZ141" s="160"/>
      <c r="CA141" s="192"/>
      <c r="CB141" s="192"/>
      <c r="CC141" s="192"/>
      <c r="CD141" s="192"/>
      <c r="CE141" s="192"/>
      <c r="CF141" s="192"/>
      <c r="CG141" s="192"/>
      <c r="CH141" s="192"/>
      <c r="CI141" s="192"/>
      <c r="CJ141" s="192"/>
      <c r="CK141" s="192"/>
      <c r="CL141" s="192"/>
      <c r="CM141" s="192"/>
      <c r="CN141" s="192"/>
      <c r="CO141" s="192"/>
      <c r="CP141" s="192"/>
      <c r="CQ141" s="192"/>
      <c r="CR141" s="192"/>
      <c r="CS141" s="160"/>
      <c r="CT141" s="192"/>
      <c r="CU141" s="192"/>
      <c r="CV141" s="192"/>
      <c r="CW141" s="192"/>
      <c r="CX141" s="192"/>
      <c r="CY141" s="192"/>
      <c r="CZ141" s="192"/>
      <c r="DA141" s="192"/>
      <c r="DB141" s="192"/>
      <c r="DC141" s="192"/>
      <c r="DD141" s="192"/>
      <c r="DE141" s="192"/>
      <c r="DF141" s="192"/>
      <c r="DG141" s="205"/>
      <c r="DH141" s="205"/>
      <c r="DI141" s="205"/>
      <c r="DJ141" s="192"/>
      <c r="DK141" s="192"/>
      <c r="DL141" s="192"/>
      <c r="DM141" s="10"/>
      <c r="DN141" s="10"/>
      <c r="DO141" s="10"/>
      <c r="DP141" s="10"/>
      <c r="DQ141" s="10"/>
      <c r="DR141" s="10"/>
    </row>
    <row r="142" spans="1:122" ht="15.75" customHeight="1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92"/>
      <c r="S142" s="192"/>
      <c r="T142" s="192"/>
      <c r="U142" s="160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60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  <c r="BD142" s="192"/>
      <c r="BE142" s="192"/>
      <c r="BF142" s="192"/>
      <c r="BG142" s="160"/>
      <c r="BH142" s="192"/>
      <c r="BI142" s="192"/>
      <c r="BJ142" s="192"/>
      <c r="BK142" s="192"/>
      <c r="BL142" s="192"/>
      <c r="BM142" s="192"/>
      <c r="BN142" s="192"/>
      <c r="BO142" s="192"/>
      <c r="BP142" s="192"/>
      <c r="BQ142" s="192"/>
      <c r="BR142" s="192"/>
      <c r="BS142" s="192"/>
      <c r="BT142" s="192"/>
      <c r="BU142" s="192"/>
      <c r="BV142" s="192"/>
      <c r="BW142" s="192"/>
      <c r="BX142" s="192"/>
      <c r="BY142" s="192"/>
      <c r="BZ142" s="160"/>
      <c r="CA142" s="192"/>
      <c r="CB142" s="192"/>
      <c r="CC142" s="192"/>
      <c r="CD142" s="192"/>
      <c r="CE142" s="192"/>
      <c r="CF142" s="192"/>
      <c r="CG142" s="192"/>
      <c r="CH142" s="192"/>
      <c r="CI142" s="192"/>
      <c r="CJ142" s="192"/>
      <c r="CK142" s="192"/>
      <c r="CL142" s="192"/>
      <c r="CM142" s="192"/>
      <c r="CN142" s="192"/>
      <c r="CO142" s="192"/>
      <c r="CP142" s="192"/>
      <c r="CQ142" s="192"/>
      <c r="CR142" s="192"/>
      <c r="CS142" s="160"/>
      <c r="CT142" s="192"/>
      <c r="CU142" s="192"/>
      <c r="CV142" s="192"/>
      <c r="CW142" s="192"/>
      <c r="CX142" s="192"/>
      <c r="CY142" s="192"/>
      <c r="CZ142" s="192"/>
      <c r="DA142" s="192"/>
      <c r="DB142" s="192"/>
      <c r="DC142" s="192"/>
      <c r="DD142" s="192"/>
      <c r="DE142" s="192"/>
      <c r="DF142" s="192"/>
      <c r="DG142" s="205"/>
      <c r="DH142" s="205"/>
      <c r="DI142" s="205"/>
      <c r="DJ142" s="192"/>
      <c r="DK142" s="192"/>
      <c r="DL142" s="192"/>
      <c r="DM142" s="10"/>
      <c r="DN142" s="10"/>
      <c r="DO142" s="10"/>
      <c r="DP142" s="10"/>
      <c r="DQ142" s="10"/>
      <c r="DR142" s="10"/>
    </row>
    <row r="143" spans="1:122" ht="15.75" customHeight="1">
      <c r="A143" s="478"/>
      <c r="B143" s="478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92"/>
      <c r="S143" s="192"/>
      <c r="T143" s="477"/>
      <c r="U143" s="477"/>
      <c r="V143" s="214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477"/>
      <c r="AN143" s="477"/>
      <c r="AO143" s="214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  <c r="BD143" s="192"/>
      <c r="BE143" s="192"/>
      <c r="BF143" s="477"/>
      <c r="BG143" s="477"/>
      <c r="BH143" s="214"/>
      <c r="BI143" s="192"/>
      <c r="BJ143" s="192"/>
      <c r="BK143" s="192"/>
      <c r="BL143" s="192"/>
      <c r="BM143" s="192"/>
      <c r="BN143" s="192"/>
      <c r="BO143" s="192"/>
      <c r="BP143" s="192"/>
      <c r="BQ143" s="192"/>
      <c r="BR143" s="192"/>
      <c r="BS143" s="192"/>
      <c r="BT143" s="192"/>
      <c r="BU143" s="192"/>
      <c r="BV143" s="192"/>
      <c r="BW143" s="192"/>
      <c r="BX143" s="192"/>
      <c r="BY143" s="477"/>
      <c r="BZ143" s="477"/>
      <c r="CA143" s="214"/>
      <c r="CB143" s="192"/>
      <c r="CC143" s="192"/>
      <c r="CD143" s="192"/>
      <c r="CE143" s="192"/>
      <c r="CF143" s="192"/>
      <c r="CG143" s="192"/>
      <c r="CH143" s="192"/>
      <c r="CI143" s="192"/>
      <c r="CJ143" s="192"/>
      <c r="CK143" s="192"/>
      <c r="CL143" s="192"/>
      <c r="CM143" s="192"/>
      <c r="CN143" s="192"/>
      <c r="CO143" s="192"/>
      <c r="CP143" s="192"/>
      <c r="CQ143" s="192"/>
      <c r="CR143" s="477"/>
      <c r="CS143" s="477"/>
      <c r="CT143" s="214"/>
      <c r="CU143" s="192"/>
      <c r="CV143" s="192"/>
      <c r="CW143" s="192"/>
      <c r="CX143" s="192"/>
      <c r="CY143" s="192"/>
      <c r="CZ143" s="192"/>
      <c r="DA143" s="192"/>
      <c r="DB143" s="192"/>
      <c r="DC143" s="192"/>
      <c r="DD143" s="192"/>
      <c r="DE143" s="192"/>
      <c r="DF143" s="192"/>
      <c r="DG143" s="205"/>
      <c r="DH143" s="205"/>
      <c r="DI143" s="205"/>
      <c r="DJ143" s="192"/>
      <c r="DK143" s="192"/>
      <c r="DL143" s="192"/>
      <c r="DM143" s="10"/>
      <c r="DN143" s="10"/>
      <c r="DO143" s="10"/>
      <c r="DP143" s="10"/>
      <c r="DQ143" s="10"/>
      <c r="DR143" s="10"/>
    </row>
    <row r="144" spans="1:122" ht="15.75" customHeight="1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  <c r="BD144" s="192"/>
      <c r="BE144" s="192"/>
      <c r="BF144" s="192"/>
      <c r="BG144" s="192"/>
      <c r="BH144" s="192"/>
      <c r="BI144" s="192"/>
      <c r="BJ144" s="192"/>
      <c r="BK144" s="192"/>
      <c r="BL144" s="192"/>
      <c r="BM144" s="192"/>
      <c r="BN144" s="192"/>
      <c r="BO144" s="192"/>
      <c r="BP144" s="192"/>
      <c r="BQ144" s="192"/>
      <c r="BR144" s="192"/>
      <c r="BS144" s="192"/>
      <c r="BT144" s="192"/>
      <c r="BU144" s="192"/>
      <c r="BV144" s="192"/>
      <c r="BW144" s="192"/>
      <c r="BX144" s="192"/>
      <c r="BY144" s="192"/>
      <c r="BZ144" s="192"/>
      <c r="CA144" s="192"/>
      <c r="CB144" s="192"/>
      <c r="CC144" s="192"/>
      <c r="CD144" s="192"/>
      <c r="CE144" s="192"/>
      <c r="CF144" s="192"/>
      <c r="CG144" s="192"/>
      <c r="CH144" s="192"/>
      <c r="CI144" s="192"/>
      <c r="CJ144" s="192"/>
      <c r="CK144" s="192"/>
      <c r="CL144" s="192"/>
      <c r="CM144" s="192"/>
      <c r="CN144" s="192"/>
      <c r="CO144" s="192"/>
      <c r="CP144" s="192"/>
      <c r="CQ144" s="192"/>
      <c r="CR144" s="192"/>
      <c r="CS144" s="192"/>
      <c r="CT144" s="192"/>
      <c r="CU144" s="192"/>
      <c r="CV144" s="192"/>
      <c r="CW144" s="192"/>
      <c r="CX144" s="192"/>
      <c r="CY144" s="192"/>
      <c r="CZ144" s="192"/>
      <c r="DA144" s="192"/>
      <c r="DB144" s="192"/>
      <c r="DC144" s="192"/>
      <c r="DD144" s="192"/>
      <c r="DE144" s="192"/>
      <c r="DF144" s="192"/>
      <c r="DG144" s="205"/>
      <c r="DH144" s="205"/>
      <c r="DI144" s="205"/>
      <c r="DJ144" s="192"/>
      <c r="DK144" s="192"/>
      <c r="DL144" s="192"/>
      <c r="DM144" s="10"/>
      <c r="DN144" s="10"/>
      <c r="DO144" s="10"/>
      <c r="DP144" s="10"/>
      <c r="DQ144" s="10"/>
      <c r="DR144" s="10"/>
    </row>
    <row r="145" spans="1:122" ht="15.75" customHeight="1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  <c r="BD145" s="192"/>
      <c r="BE145" s="192"/>
      <c r="BF145" s="192"/>
      <c r="BG145" s="192"/>
      <c r="BH145" s="192"/>
      <c r="BI145" s="192"/>
      <c r="BJ145" s="192"/>
      <c r="BK145" s="192"/>
      <c r="BL145" s="192"/>
      <c r="BM145" s="192"/>
      <c r="BN145" s="192"/>
      <c r="BO145" s="192"/>
      <c r="BP145" s="192"/>
      <c r="BQ145" s="192"/>
      <c r="BR145" s="192"/>
      <c r="BS145" s="192"/>
      <c r="BT145" s="192"/>
      <c r="BU145" s="192"/>
      <c r="BV145" s="192"/>
      <c r="BW145" s="192"/>
      <c r="BX145" s="192"/>
      <c r="BY145" s="192"/>
      <c r="BZ145" s="192"/>
      <c r="CA145" s="192"/>
      <c r="CB145" s="192"/>
      <c r="CC145" s="192"/>
      <c r="CD145" s="192"/>
      <c r="CE145" s="192"/>
      <c r="CF145" s="192"/>
      <c r="CG145" s="192"/>
      <c r="CH145" s="192"/>
      <c r="CI145" s="192"/>
      <c r="CJ145" s="192"/>
      <c r="CK145" s="192"/>
      <c r="CL145" s="192"/>
      <c r="CM145" s="192"/>
      <c r="CN145" s="192"/>
      <c r="CO145" s="192"/>
      <c r="CP145" s="192"/>
      <c r="CQ145" s="192"/>
      <c r="CR145" s="192"/>
      <c r="CS145" s="192"/>
      <c r="CT145" s="192"/>
      <c r="CU145" s="192"/>
      <c r="CV145" s="192"/>
      <c r="CW145" s="192"/>
      <c r="CX145" s="192"/>
      <c r="CY145" s="192"/>
      <c r="CZ145" s="192"/>
      <c r="DA145" s="192"/>
      <c r="DB145" s="192"/>
      <c r="DC145" s="192"/>
      <c r="DD145" s="192"/>
      <c r="DE145" s="192"/>
      <c r="DF145" s="192"/>
      <c r="DG145" s="205"/>
      <c r="DH145" s="205"/>
      <c r="DI145" s="205"/>
      <c r="DJ145" s="192"/>
      <c r="DK145" s="192"/>
      <c r="DL145" s="192"/>
      <c r="DM145" s="10"/>
      <c r="DN145" s="10"/>
      <c r="DO145" s="10"/>
      <c r="DP145" s="10"/>
      <c r="DQ145" s="10"/>
      <c r="DR145" s="10"/>
    </row>
    <row r="146" spans="1:122" ht="15.75" customHeight="1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  <c r="BD146" s="192"/>
      <c r="BE146" s="192"/>
      <c r="BF146" s="192"/>
      <c r="BG146" s="192"/>
      <c r="BH146" s="192"/>
      <c r="BI146" s="192"/>
      <c r="BJ146" s="192"/>
      <c r="BK146" s="192"/>
      <c r="BL146" s="192"/>
      <c r="BM146" s="192"/>
      <c r="BN146" s="192"/>
      <c r="BO146" s="192"/>
      <c r="BP146" s="192"/>
      <c r="BQ146" s="192"/>
      <c r="BR146" s="192"/>
      <c r="BS146" s="192"/>
      <c r="BT146" s="192"/>
      <c r="BU146" s="192"/>
      <c r="BV146" s="192"/>
      <c r="BW146" s="192"/>
      <c r="BX146" s="192"/>
      <c r="BY146" s="192"/>
      <c r="BZ146" s="192"/>
      <c r="CA146" s="192"/>
      <c r="CB146" s="192"/>
      <c r="CC146" s="192"/>
      <c r="CD146" s="192"/>
      <c r="CE146" s="192"/>
      <c r="CF146" s="192"/>
      <c r="CG146" s="192"/>
      <c r="CH146" s="192"/>
      <c r="CI146" s="192"/>
      <c r="CJ146" s="192"/>
      <c r="CK146" s="192"/>
      <c r="CL146" s="192"/>
      <c r="CM146" s="192"/>
      <c r="CN146" s="192"/>
      <c r="CO146" s="192"/>
      <c r="CP146" s="192"/>
      <c r="CQ146" s="192"/>
      <c r="CR146" s="192"/>
      <c r="CS146" s="192"/>
      <c r="CT146" s="192"/>
      <c r="CU146" s="192"/>
      <c r="CV146" s="192"/>
      <c r="CW146" s="192"/>
      <c r="CX146" s="192"/>
      <c r="CY146" s="192"/>
      <c r="CZ146" s="192"/>
      <c r="DA146" s="192"/>
      <c r="DB146" s="192"/>
      <c r="DC146" s="192"/>
      <c r="DD146" s="192"/>
      <c r="DE146" s="192"/>
      <c r="DF146" s="192"/>
      <c r="DG146" s="205"/>
      <c r="DH146" s="205"/>
      <c r="DI146" s="205"/>
      <c r="DJ146" s="192"/>
      <c r="DK146" s="192"/>
      <c r="DL146" s="192"/>
      <c r="DM146" s="10"/>
      <c r="DN146" s="10"/>
      <c r="DO146" s="10"/>
      <c r="DP146" s="10"/>
      <c r="DQ146" s="10"/>
      <c r="DR146" s="10"/>
    </row>
    <row r="147" spans="1:122" ht="15.75" customHeight="1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  <c r="BD147" s="192"/>
      <c r="BE147" s="192"/>
      <c r="BF147" s="192"/>
      <c r="BG147" s="192"/>
      <c r="BH147" s="192"/>
      <c r="BI147" s="192"/>
      <c r="BJ147" s="192"/>
      <c r="BK147" s="192"/>
      <c r="BL147" s="192"/>
      <c r="BM147" s="192"/>
      <c r="BN147" s="192"/>
      <c r="BO147" s="192"/>
      <c r="BP147" s="192"/>
      <c r="BQ147" s="192"/>
      <c r="BR147" s="192"/>
      <c r="BS147" s="192"/>
      <c r="BT147" s="192"/>
      <c r="BU147" s="192"/>
      <c r="BV147" s="192"/>
      <c r="BW147" s="192"/>
      <c r="BX147" s="192"/>
      <c r="BY147" s="192"/>
      <c r="BZ147" s="192"/>
      <c r="CA147" s="192"/>
      <c r="CB147" s="192"/>
      <c r="CC147" s="192"/>
      <c r="CD147" s="192"/>
      <c r="CE147" s="192"/>
      <c r="CF147" s="192"/>
      <c r="CG147" s="192"/>
      <c r="CH147" s="192"/>
      <c r="CI147" s="192"/>
      <c r="CJ147" s="192"/>
      <c r="CK147" s="192"/>
      <c r="CL147" s="192"/>
      <c r="CM147" s="192"/>
      <c r="CN147" s="192"/>
      <c r="CO147" s="192"/>
      <c r="CP147" s="192"/>
      <c r="CQ147" s="192"/>
      <c r="CR147" s="192"/>
      <c r="CS147" s="192"/>
      <c r="CT147" s="192"/>
      <c r="CU147" s="192"/>
      <c r="CV147" s="192"/>
      <c r="CW147" s="192"/>
      <c r="CX147" s="192"/>
      <c r="CY147" s="192"/>
      <c r="CZ147" s="192"/>
      <c r="DA147" s="192"/>
      <c r="DB147" s="192"/>
      <c r="DC147" s="192"/>
      <c r="DD147" s="192"/>
      <c r="DE147" s="192"/>
      <c r="DF147" s="192"/>
      <c r="DG147" s="205"/>
      <c r="DH147" s="205"/>
      <c r="DI147" s="205"/>
      <c r="DJ147" s="192"/>
      <c r="DK147" s="192"/>
      <c r="DL147" s="192"/>
      <c r="DM147" s="10"/>
      <c r="DN147" s="10"/>
      <c r="DO147" s="10"/>
      <c r="DP147" s="10"/>
      <c r="DQ147" s="10"/>
      <c r="DR147" s="10"/>
    </row>
    <row r="148" spans="1:122" ht="15.75" customHeight="1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  <c r="BD148" s="192"/>
      <c r="BE148" s="192"/>
      <c r="BF148" s="192"/>
      <c r="BG148" s="192"/>
      <c r="BH148" s="192"/>
      <c r="BI148" s="192"/>
      <c r="BJ148" s="192"/>
      <c r="BK148" s="192"/>
      <c r="BL148" s="192"/>
      <c r="BM148" s="192"/>
      <c r="BN148" s="192"/>
      <c r="BO148" s="192"/>
      <c r="BP148" s="192"/>
      <c r="BQ148" s="192"/>
      <c r="BR148" s="192"/>
      <c r="BS148" s="192"/>
      <c r="BT148" s="192"/>
      <c r="BU148" s="192"/>
      <c r="BV148" s="192"/>
      <c r="BW148" s="192"/>
      <c r="BX148" s="192"/>
      <c r="BY148" s="192"/>
      <c r="BZ148" s="192"/>
      <c r="CA148" s="192"/>
      <c r="CB148" s="192"/>
      <c r="CC148" s="192"/>
      <c r="CD148" s="192"/>
      <c r="CE148" s="192"/>
      <c r="CF148" s="192"/>
      <c r="CG148" s="192"/>
      <c r="CH148" s="192"/>
      <c r="CI148" s="192"/>
      <c r="CJ148" s="192"/>
      <c r="CK148" s="192"/>
      <c r="CL148" s="192"/>
      <c r="CM148" s="192"/>
      <c r="CN148" s="192"/>
      <c r="CO148" s="192"/>
      <c r="CP148" s="192"/>
      <c r="CQ148" s="192"/>
      <c r="CR148" s="192"/>
      <c r="CS148" s="192"/>
      <c r="CT148" s="192"/>
      <c r="CU148" s="192"/>
      <c r="CV148" s="192"/>
      <c r="CW148" s="192"/>
      <c r="CX148" s="192"/>
      <c r="CY148" s="192"/>
      <c r="CZ148" s="192"/>
      <c r="DA148" s="192"/>
      <c r="DB148" s="192"/>
      <c r="DC148" s="192"/>
      <c r="DD148" s="192"/>
      <c r="DE148" s="192"/>
      <c r="DF148" s="192"/>
      <c r="DG148" s="205"/>
      <c r="DH148" s="205"/>
      <c r="DI148" s="205"/>
      <c r="DJ148" s="192"/>
      <c r="DK148" s="192"/>
      <c r="DL148" s="192"/>
      <c r="DM148" s="10"/>
      <c r="DN148" s="10"/>
      <c r="DO148" s="10"/>
      <c r="DP148" s="10"/>
      <c r="DQ148" s="10"/>
      <c r="DR148" s="10"/>
    </row>
    <row r="149" spans="1:122" ht="15.75" customHeight="1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  <c r="BD149" s="192"/>
      <c r="BE149" s="192"/>
      <c r="BF149" s="192"/>
      <c r="BG149" s="192"/>
      <c r="BH149" s="192"/>
      <c r="BI149" s="192"/>
      <c r="BJ149" s="192"/>
      <c r="BK149" s="192"/>
      <c r="BL149" s="192"/>
      <c r="BM149" s="192"/>
      <c r="BN149" s="192"/>
      <c r="BO149" s="192"/>
      <c r="BP149" s="192"/>
      <c r="BQ149" s="192"/>
      <c r="BR149" s="192"/>
      <c r="BS149" s="192"/>
      <c r="BT149" s="192"/>
      <c r="BU149" s="192"/>
      <c r="BV149" s="192"/>
      <c r="BW149" s="192"/>
      <c r="BX149" s="192"/>
      <c r="BY149" s="192"/>
      <c r="BZ149" s="192"/>
      <c r="CA149" s="192"/>
      <c r="CB149" s="192"/>
      <c r="CC149" s="192"/>
      <c r="CD149" s="192"/>
      <c r="CE149" s="192"/>
      <c r="CF149" s="192"/>
      <c r="CG149" s="192"/>
      <c r="CH149" s="192"/>
      <c r="CI149" s="192"/>
      <c r="CJ149" s="192"/>
      <c r="CK149" s="192"/>
      <c r="CL149" s="192"/>
      <c r="CM149" s="192"/>
      <c r="CN149" s="192"/>
      <c r="CO149" s="192"/>
      <c r="CP149" s="192"/>
      <c r="CQ149" s="192"/>
      <c r="CR149" s="192"/>
      <c r="CS149" s="192"/>
      <c r="CT149" s="192"/>
      <c r="CU149" s="192"/>
      <c r="CV149" s="192"/>
      <c r="CW149" s="192"/>
      <c r="CX149" s="192"/>
      <c r="CY149" s="192"/>
      <c r="CZ149" s="192"/>
      <c r="DA149" s="192"/>
      <c r="DB149" s="192"/>
      <c r="DC149" s="192"/>
      <c r="DD149" s="192"/>
      <c r="DE149" s="192"/>
      <c r="DF149" s="192"/>
      <c r="DG149" s="205"/>
      <c r="DH149" s="205"/>
      <c r="DI149" s="205"/>
      <c r="DJ149" s="192"/>
      <c r="DK149" s="192"/>
      <c r="DL149" s="192"/>
      <c r="DM149" s="10"/>
      <c r="DN149" s="10"/>
      <c r="DO149" s="10"/>
      <c r="DP149" s="10"/>
      <c r="DQ149" s="10"/>
      <c r="DR149" s="10"/>
    </row>
    <row r="150" spans="1:122" ht="15.75" customHeight="1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  <c r="BD150" s="192"/>
      <c r="BE150" s="192"/>
      <c r="BF150" s="192"/>
      <c r="BG150" s="192"/>
      <c r="BH150" s="192"/>
      <c r="BI150" s="192"/>
      <c r="BJ150" s="192"/>
      <c r="BK150" s="192"/>
      <c r="BL150" s="192"/>
      <c r="BM150" s="192"/>
      <c r="BN150" s="192"/>
      <c r="BO150" s="192"/>
      <c r="BP150" s="192"/>
      <c r="BQ150" s="192"/>
      <c r="BR150" s="192"/>
      <c r="BS150" s="192"/>
      <c r="BT150" s="192"/>
      <c r="BU150" s="192"/>
      <c r="BV150" s="192"/>
      <c r="BW150" s="192"/>
      <c r="BX150" s="192"/>
      <c r="BY150" s="192"/>
      <c r="BZ150" s="192"/>
      <c r="CA150" s="192"/>
      <c r="CB150" s="192"/>
      <c r="CC150" s="192"/>
      <c r="CD150" s="192"/>
      <c r="CE150" s="192"/>
      <c r="CF150" s="192"/>
      <c r="CG150" s="192"/>
      <c r="CH150" s="192"/>
      <c r="CI150" s="192"/>
      <c r="CJ150" s="192"/>
      <c r="CK150" s="192"/>
      <c r="CL150" s="192"/>
      <c r="CM150" s="192"/>
      <c r="CN150" s="192"/>
      <c r="CO150" s="192"/>
      <c r="CP150" s="192"/>
      <c r="CQ150" s="192"/>
      <c r="CR150" s="192"/>
      <c r="CS150" s="192"/>
      <c r="CT150" s="192"/>
      <c r="CU150" s="192"/>
      <c r="CV150" s="192"/>
      <c r="CW150" s="192"/>
      <c r="CX150" s="192"/>
      <c r="CY150" s="192"/>
      <c r="CZ150" s="192"/>
      <c r="DA150" s="192"/>
      <c r="DB150" s="192"/>
      <c r="DC150" s="192"/>
      <c r="DD150" s="192"/>
      <c r="DE150" s="192"/>
      <c r="DF150" s="192"/>
      <c r="DG150" s="205"/>
      <c r="DH150" s="205"/>
      <c r="DI150" s="205"/>
      <c r="DJ150" s="192"/>
      <c r="DK150" s="192"/>
      <c r="DL150" s="192"/>
      <c r="DM150" s="10"/>
      <c r="DN150" s="10"/>
      <c r="DO150" s="10"/>
      <c r="DP150" s="10"/>
      <c r="DQ150" s="10"/>
      <c r="DR150" s="10"/>
    </row>
    <row r="151" spans="1:122" ht="15.75" customHeight="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  <c r="BD151" s="192"/>
      <c r="BE151" s="192"/>
      <c r="BF151" s="192"/>
      <c r="BG151" s="192"/>
      <c r="BH151" s="192"/>
      <c r="BI151" s="192"/>
      <c r="BJ151" s="192"/>
      <c r="BK151" s="192"/>
      <c r="BL151" s="192"/>
      <c r="BM151" s="192"/>
      <c r="BN151" s="192"/>
      <c r="BO151" s="192"/>
      <c r="BP151" s="192"/>
      <c r="BQ151" s="192"/>
      <c r="BR151" s="192"/>
      <c r="BS151" s="192"/>
      <c r="BT151" s="192"/>
      <c r="BU151" s="192"/>
      <c r="BV151" s="192"/>
      <c r="BW151" s="192"/>
      <c r="BX151" s="192"/>
      <c r="BY151" s="192"/>
      <c r="BZ151" s="192"/>
      <c r="CA151" s="192"/>
      <c r="CB151" s="192"/>
      <c r="CC151" s="192"/>
      <c r="CD151" s="192"/>
      <c r="CE151" s="192"/>
      <c r="CF151" s="192"/>
      <c r="CG151" s="192"/>
      <c r="CH151" s="192"/>
      <c r="CI151" s="192"/>
      <c r="CJ151" s="192"/>
      <c r="CK151" s="192"/>
      <c r="CL151" s="192"/>
      <c r="CM151" s="192"/>
      <c r="CN151" s="192"/>
      <c r="CO151" s="192"/>
      <c r="CP151" s="192"/>
      <c r="CQ151" s="192"/>
      <c r="CR151" s="192"/>
      <c r="CS151" s="192"/>
      <c r="CT151" s="192"/>
      <c r="CU151" s="192"/>
      <c r="CV151" s="192"/>
      <c r="CW151" s="192"/>
      <c r="CX151" s="192"/>
      <c r="CY151" s="192"/>
      <c r="CZ151" s="192"/>
      <c r="DA151" s="192"/>
      <c r="DB151" s="192"/>
      <c r="DC151" s="192"/>
      <c r="DD151" s="192"/>
      <c r="DE151" s="192"/>
      <c r="DF151" s="192"/>
      <c r="DG151" s="205"/>
      <c r="DH151" s="205"/>
      <c r="DI151" s="205"/>
      <c r="DJ151" s="192"/>
      <c r="DK151" s="192"/>
      <c r="DL151" s="192"/>
      <c r="DM151" s="10"/>
      <c r="DN151" s="10"/>
      <c r="DO151" s="10"/>
      <c r="DP151" s="10"/>
      <c r="DQ151" s="10"/>
      <c r="DR151" s="10"/>
    </row>
    <row r="152" spans="1:122" ht="15.75" customHeight="1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  <c r="BD152" s="192"/>
      <c r="BE152" s="192"/>
      <c r="BF152" s="192"/>
      <c r="BG152" s="192"/>
      <c r="BH152" s="192"/>
      <c r="BI152" s="192"/>
      <c r="BJ152" s="192"/>
      <c r="BK152" s="192"/>
      <c r="BL152" s="192"/>
      <c r="BM152" s="192"/>
      <c r="BN152" s="192"/>
      <c r="BO152" s="192"/>
      <c r="BP152" s="192"/>
      <c r="BQ152" s="192"/>
      <c r="BR152" s="192"/>
      <c r="BS152" s="192"/>
      <c r="BT152" s="192"/>
      <c r="BU152" s="192"/>
      <c r="BV152" s="192"/>
      <c r="BW152" s="192"/>
      <c r="BX152" s="192"/>
      <c r="BY152" s="192"/>
      <c r="BZ152" s="192"/>
      <c r="CA152" s="192"/>
      <c r="CB152" s="192"/>
      <c r="CC152" s="192"/>
      <c r="CD152" s="192"/>
      <c r="CE152" s="192"/>
      <c r="CF152" s="192"/>
      <c r="CG152" s="192"/>
      <c r="CH152" s="192"/>
      <c r="CI152" s="192"/>
      <c r="CJ152" s="192"/>
      <c r="CK152" s="192"/>
      <c r="CL152" s="192"/>
      <c r="CM152" s="192"/>
      <c r="CN152" s="192"/>
      <c r="CO152" s="192"/>
      <c r="CP152" s="192"/>
      <c r="CQ152" s="192"/>
      <c r="CR152" s="192"/>
      <c r="CS152" s="192"/>
      <c r="CT152" s="192"/>
      <c r="CU152" s="192"/>
      <c r="CV152" s="192"/>
      <c r="CW152" s="192"/>
      <c r="CX152" s="192"/>
      <c r="CY152" s="192"/>
      <c r="CZ152" s="192"/>
      <c r="DA152" s="192"/>
      <c r="DB152" s="192"/>
      <c r="DC152" s="192"/>
      <c r="DD152" s="192"/>
      <c r="DE152" s="192"/>
      <c r="DF152" s="192"/>
      <c r="DG152" s="205"/>
      <c r="DH152" s="205"/>
      <c r="DI152" s="205"/>
      <c r="DJ152" s="192"/>
      <c r="DK152" s="192"/>
      <c r="DL152" s="192"/>
      <c r="DM152" s="10"/>
      <c r="DN152" s="10"/>
      <c r="DO152" s="10"/>
      <c r="DP152" s="10"/>
      <c r="DQ152" s="10"/>
      <c r="DR152" s="10"/>
    </row>
    <row r="153" spans="1:122" ht="15.75" customHeight="1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  <c r="BD153" s="192"/>
      <c r="BE153" s="192"/>
      <c r="BF153" s="192"/>
      <c r="BG153" s="192"/>
      <c r="BH153" s="192"/>
      <c r="BI153" s="192"/>
      <c r="BJ153" s="192"/>
      <c r="BK153" s="192"/>
      <c r="BL153" s="192"/>
      <c r="BM153" s="192"/>
      <c r="BN153" s="192"/>
      <c r="BO153" s="192"/>
      <c r="BP153" s="192"/>
      <c r="BQ153" s="192"/>
      <c r="BR153" s="192"/>
      <c r="BS153" s="192"/>
      <c r="BT153" s="192"/>
      <c r="BU153" s="192"/>
      <c r="BV153" s="192"/>
      <c r="BW153" s="192"/>
      <c r="BX153" s="192"/>
      <c r="BY153" s="192"/>
      <c r="BZ153" s="192"/>
      <c r="CA153" s="192"/>
      <c r="CB153" s="192"/>
      <c r="CC153" s="192"/>
      <c r="CD153" s="192"/>
      <c r="CE153" s="192"/>
      <c r="CF153" s="192"/>
      <c r="CG153" s="192"/>
      <c r="CH153" s="192"/>
      <c r="CI153" s="192"/>
      <c r="CJ153" s="192"/>
      <c r="CK153" s="192"/>
      <c r="CL153" s="192"/>
      <c r="CM153" s="192"/>
      <c r="CN153" s="192"/>
      <c r="CO153" s="192"/>
      <c r="CP153" s="192"/>
      <c r="CQ153" s="192"/>
      <c r="CR153" s="192"/>
      <c r="CS153" s="192"/>
      <c r="CT153" s="192"/>
      <c r="CU153" s="192"/>
      <c r="CV153" s="192"/>
      <c r="CW153" s="192"/>
      <c r="CX153" s="192"/>
      <c r="CY153" s="192"/>
      <c r="CZ153" s="192"/>
      <c r="DA153" s="192"/>
      <c r="DB153" s="192"/>
      <c r="DC153" s="192"/>
      <c r="DD153" s="192"/>
      <c r="DE153" s="192"/>
      <c r="DF153" s="192"/>
      <c r="DG153" s="205"/>
      <c r="DH153" s="205"/>
      <c r="DI153" s="205"/>
      <c r="DJ153" s="192"/>
      <c r="DK153" s="192"/>
      <c r="DL153" s="192"/>
      <c r="DM153" s="10"/>
      <c r="DN153" s="10"/>
      <c r="DO153" s="10"/>
      <c r="DP153" s="10"/>
      <c r="DQ153" s="10"/>
      <c r="DR153" s="10"/>
    </row>
    <row r="154" spans="1:122" ht="15.75" customHeight="1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  <c r="BD154" s="192"/>
      <c r="BE154" s="192"/>
      <c r="BF154" s="192"/>
      <c r="BG154" s="192"/>
      <c r="BH154" s="192"/>
      <c r="BI154" s="192"/>
      <c r="BJ154" s="192"/>
      <c r="BK154" s="192"/>
      <c r="BL154" s="192"/>
      <c r="BM154" s="192"/>
      <c r="BN154" s="192"/>
      <c r="BO154" s="192"/>
      <c r="BP154" s="192"/>
      <c r="BQ154" s="192"/>
      <c r="BR154" s="192"/>
      <c r="BS154" s="192"/>
      <c r="BT154" s="192"/>
      <c r="BU154" s="192"/>
      <c r="BV154" s="192"/>
      <c r="BW154" s="192"/>
      <c r="BX154" s="192"/>
      <c r="BY154" s="192"/>
      <c r="BZ154" s="192"/>
      <c r="CA154" s="192"/>
      <c r="CB154" s="192"/>
      <c r="CC154" s="192"/>
      <c r="CD154" s="192"/>
      <c r="CE154" s="192"/>
      <c r="CF154" s="192"/>
      <c r="CG154" s="192"/>
      <c r="CH154" s="192"/>
      <c r="CI154" s="192"/>
      <c r="CJ154" s="192"/>
      <c r="CK154" s="192"/>
      <c r="CL154" s="192"/>
      <c r="CM154" s="192"/>
      <c r="CN154" s="192"/>
      <c r="CO154" s="192"/>
      <c r="CP154" s="192"/>
      <c r="CQ154" s="192"/>
      <c r="CR154" s="192"/>
      <c r="CS154" s="192"/>
      <c r="CT154" s="192"/>
      <c r="CU154" s="192"/>
      <c r="CV154" s="192"/>
      <c r="CW154" s="192"/>
      <c r="CX154" s="192"/>
      <c r="CY154" s="192"/>
      <c r="CZ154" s="192"/>
      <c r="DA154" s="192"/>
      <c r="DB154" s="192"/>
      <c r="DC154" s="192"/>
      <c r="DD154" s="192"/>
      <c r="DE154" s="192"/>
      <c r="DF154" s="192"/>
      <c r="DG154" s="205"/>
      <c r="DH154" s="205"/>
      <c r="DI154" s="205"/>
      <c r="DJ154" s="192"/>
      <c r="DK154" s="192"/>
      <c r="DL154" s="192"/>
      <c r="DM154" s="10"/>
      <c r="DN154" s="10"/>
      <c r="DO154" s="10"/>
      <c r="DP154" s="10"/>
      <c r="DQ154" s="10"/>
      <c r="DR154" s="10"/>
    </row>
    <row r="155" spans="1:122" ht="15.75" customHeight="1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206"/>
      <c r="AO155" s="206"/>
      <c r="AP155" s="206"/>
      <c r="AQ155" s="206"/>
      <c r="AR155" s="206"/>
      <c r="AS155" s="206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  <c r="BD155" s="192"/>
      <c r="BE155" s="192"/>
      <c r="BF155" s="192"/>
      <c r="BG155" s="192"/>
      <c r="BH155" s="192"/>
      <c r="BI155" s="192"/>
      <c r="BJ155" s="192"/>
      <c r="BK155" s="192"/>
      <c r="BL155" s="192"/>
      <c r="BM155" s="192"/>
      <c r="BN155" s="192"/>
      <c r="BO155" s="192"/>
      <c r="BP155" s="192"/>
      <c r="BQ155" s="192"/>
      <c r="BR155" s="192"/>
      <c r="BS155" s="192"/>
      <c r="BT155" s="192"/>
      <c r="BU155" s="192"/>
      <c r="BV155" s="192"/>
      <c r="BW155" s="192"/>
      <c r="BX155" s="192"/>
      <c r="BY155" s="192"/>
      <c r="BZ155" s="192"/>
      <c r="CA155" s="192"/>
      <c r="CB155" s="192"/>
      <c r="CC155" s="192"/>
      <c r="CD155" s="192"/>
      <c r="CE155" s="192"/>
      <c r="CF155" s="192"/>
      <c r="CG155" s="192"/>
      <c r="CH155" s="192"/>
      <c r="CI155" s="192"/>
      <c r="CJ155" s="192"/>
      <c r="CK155" s="192"/>
      <c r="CL155" s="192"/>
      <c r="CM155" s="192"/>
      <c r="CN155" s="192"/>
      <c r="CO155" s="192"/>
      <c r="CP155" s="192"/>
      <c r="CQ155" s="192"/>
      <c r="CR155" s="192"/>
      <c r="CS155" s="192"/>
      <c r="CT155" s="192"/>
      <c r="CU155" s="192"/>
      <c r="CV155" s="192"/>
      <c r="CW155" s="192"/>
      <c r="CX155" s="192"/>
      <c r="CY155" s="192"/>
      <c r="CZ155" s="192"/>
      <c r="DA155" s="192"/>
      <c r="DB155" s="192"/>
      <c r="DC155" s="192"/>
      <c r="DD155" s="192"/>
      <c r="DE155" s="192"/>
      <c r="DF155" s="192"/>
      <c r="DG155" s="205"/>
      <c r="DH155" s="205"/>
      <c r="DI155" s="205"/>
      <c r="DJ155" s="192"/>
      <c r="DK155" s="192"/>
      <c r="DL155" s="192"/>
      <c r="DM155" s="10"/>
      <c r="DN155" s="10"/>
      <c r="DO155" s="10"/>
      <c r="DP155" s="10"/>
      <c r="DQ155" s="10"/>
      <c r="DR155" s="10"/>
    </row>
    <row r="156" spans="1:122" ht="15.75" customHeight="1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206"/>
      <c r="AO156" s="206"/>
      <c r="AP156" s="206"/>
      <c r="AQ156" s="206"/>
      <c r="AR156" s="206"/>
      <c r="AS156" s="206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  <c r="BD156" s="192"/>
      <c r="BE156" s="192"/>
      <c r="BF156" s="192"/>
      <c r="BG156" s="192"/>
      <c r="BH156" s="192"/>
      <c r="BI156" s="192"/>
      <c r="BJ156" s="192"/>
      <c r="BK156" s="192"/>
      <c r="BL156" s="192"/>
      <c r="BM156" s="192"/>
      <c r="BN156" s="192"/>
      <c r="BO156" s="192"/>
      <c r="BP156" s="192"/>
      <c r="BQ156" s="192"/>
      <c r="BR156" s="192"/>
      <c r="BS156" s="192"/>
      <c r="BT156" s="192"/>
      <c r="BU156" s="192"/>
      <c r="BV156" s="192"/>
      <c r="BW156" s="192"/>
      <c r="BX156" s="192"/>
      <c r="BY156" s="192"/>
      <c r="BZ156" s="192"/>
      <c r="CA156" s="192"/>
      <c r="CB156" s="192"/>
      <c r="CC156" s="192"/>
      <c r="CD156" s="192"/>
      <c r="CE156" s="192"/>
      <c r="CF156" s="192"/>
      <c r="CG156" s="192"/>
      <c r="CH156" s="192"/>
      <c r="CI156" s="192"/>
      <c r="CJ156" s="192"/>
      <c r="CK156" s="192"/>
      <c r="CL156" s="192"/>
      <c r="CM156" s="192"/>
      <c r="CN156" s="192"/>
      <c r="CO156" s="192"/>
      <c r="CP156" s="192"/>
      <c r="CQ156" s="192"/>
      <c r="CR156" s="192"/>
      <c r="CS156" s="192"/>
      <c r="CT156" s="192"/>
      <c r="CU156" s="192"/>
      <c r="CV156" s="192"/>
      <c r="CW156" s="192"/>
      <c r="CX156" s="192"/>
      <c r="CY156" s="192"/>
      <c r="CZ156" s="192"/>
      <c r="DA156" s="192"/>
      <c r="DB156" s="192"/>
      <c r="DC156" s="192"/>
      <c r="DD156" s="192"/>
      <c r="DE156" s="192"/>
      <c r="DF156" s="192"/>
      <c r="DG156" s="205"/>
      <c r="DH156" s="205"/>
      <c r="DI156" s="205"/>
      <c r="DJ156" s="192"/>
      <c r="DK156" s="192"/>
      <c r="DL156" s="192"/>
      <c r="DM156" s="10"/>
      <c r="DN156" s="10"/>
      <c r="DO156" s="10"/>
      <c r="DP156" s="10"/>
      <c r="DQ156" s="10"/>
      <c r="DR156" s="10"/>
    </row>
    <row r="157" spans="1:122" ht="15.75" customHeight="1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299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206"/>
      <c r="AO157" s="206"/>
      <c r="AP157" s="206"/>
      <c r="AQ157" s="206"/>
      <c r="AR157" s="206"/>
      <c r="AS157" s="206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  <c r="BD157" s="192"/>
      <c r="BE157" s="192"/>
      <c r="BF157" s="192"/>
      <c r="BG157" s="192"/>
      <c r="BH157" s="192"/>
      <c r="BI157" s="192"/>
      <c r="BJ157" s="192"/>
      <c r="BK157" s="192"/>
      <c r="BL157" s="192"/>
      <c r="BM157" s="192"/>
      <c r="BN157" s="192"/>
      <c r="BO157" s="192"/>
      <c r="BP157" s="192"/>
      <c r="BQ157" s="192"/>
      <c r="BR157" s="192"/>
      <c r="BS157" s="192"/>
      <c r="BT157" s="192"/>
      <c r="BU157" s="192"/>
      <c r="BV157" s="192"/>
      <c r="BW157" s="192"/>
      <c r="BX157" s="192"/>
      <c r="BY157" s="192"/>
      <c r="BZ157" s="192"/>
      <c r="CA157" s="192"/>
      <c r="CB157" s="192"/>
      <c r="CC157" s="192"/>
      <c r="CD157" s="192"/>
      <c r="CE157" s="192"/>
      <c r="CF157" s="192"/>
      <c r="CG157" s="192"/>
      <c r="CH157" s="192"/>
      <c r="CI157" s="192"/>
      <c r="CJ157" s="192"/>
      <c r="CK157" s="192"/>
      <c r="CL157" s="192"/>
      <c r="CM157" s="192"/>
      <c r="CN157" s="192"/>
      <c r="CO157" s="192"/>
      <c r="CP157" s="192"/>
      <c r="CQ157" s="192"/>
      <c r="CR157" s="192"/>
      <c r="CS157" s="192"/>
      <c r="CT157" s="192"/>
      <c r="CU157" s="192"/>
      <c r="CV157" s="192"/>
      <c r="CW157" s="192"/>
      <c r="CX157" s="192"/>
      <c r="CY157" s="192"/>
      <c r="CZ157" s="192"/>
      <c r="DA157" s="192"/>
      <c r="DB157" s="192"/>
      <c r="DC157" s="192"/>
      <c r="DD157" s="192"/>
      <c r="DE157" s="192"/>
      <c r="DF157" s="192"/>
      <c r="DG157" s="205"/>
      <c r="DH157" s="205"/>
      <c r="DI157" s="205"/>
      <c r="DJ157" s="192"/>
      <c r="DK157" s="192"/>
      <c r="DL157" s="192"/>
      <c r="DM157" s="10"/>
      <c r="DN157" s="10"/>
      <c r="DO157" s="10"/>
      <c r="DP157" s="10"/>
      <c r="DQ157" s="10"/>
      <c r="DR157" s="10"/>
    </row>
    <row r="158" spans="1:122" ht="15.75" customHeight="1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299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206"/>
      <c r="AO158" s="206"/>
      <c r="AP158" s="206"/>
      <c r="AQ158" s="206"/>
      <c r="AR158" s="206"/>
      <c r="AS158" s="206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  <c r="BD158" s="192"/>
      <c r="BE158" s="192"/>
      <c r="BF158" s="192"/>
      <c r="BG158" s="192"/>
      <c r="BH158" s="192"/>
      <c r="BI158" s="192"/>
      <c r="BJ158" s="192"/>
      <c r="BK158" s="192"/>
      <c r="BL158" s="192"/>
      <c r="BM158" s="192"/>
      <c r="BN158" s="192"/>
      <c r="BO158" s="192"/>
      <c r="BP158" s="192"/>
      <c r="BQ158" s="192"/>
      <c r="BR158" s="192"/>
      <c r="BS158" s="192"/>
      <c r="BT158" s="192"/>
      <c r="BU158" s="192"/>
      <c r="BV158" s="192"/>
      <c r="BW158" s="192"/>
      <c r="BX158" s="192"/>
      <c r="BY158" s="192"/>
      <c r="BZ158" s="192"/>
      <c r="CA158" s="192"/>
      <c r="CB158" s="192"/>
      <c r="CC158" s="192"/>
      <c r="CD158" s="192"/>
      <c r="CE158" s="192"/>
      <c r="CF158" s="192"/>
      <c r="CG158" s="192"/>
      <c r="CH158" s="192"/>
      <c r="CI158" s="192"/>
      <c r="CJ158" s="192"/>
      <c r="CK158" s="192"/>
      <c r="CL158" s="192"/>
      <c r="CM158" s="192"/>
      <c r="CN158" s="192"/>
      <c r="CO158" s="192"/>
      <c r="CP158" s="192"/>
      <c r="CQ158" s="192"/>
      <c r="CR158" s="192"/>
      <c r="CS158" s="192"/>
      <c r="CT158" s="192"/>
      <c r="CU158" s="192"/>
      <c r="CV158" s="192"/>
      <c r="CW158" s="192"/>
      <c r="CX158" s="192"/>
      <c r="CY158" s="192"/>
      <c r="CZ158" s="192"/>
      <c r="DA158" s="192"/>
      <c r="DB158" s="192"/>
      <c r="DC158" s="192"/>
      <c r="DD158" s="192"/>
      <c r="DE158" s="192"/>
      <c r="DF158" s="192"/>
      <c r="DG158" s="205"/>
      <c r="DH158" s="205"/>
      <c r="DI158" s="205"/>
      <c r="DJ158" s="192"/>
      <c r="DK158" s="192"/>
      <c r="DL158" s="192"/>
      <c r="DM158" s="10"/>
      <c r="DN158" s="10"/>
      <c r="DO158" s="10"/>
      <c r="DP158" s="10"/>
      <c r="DQ158" s="10"/>
      <c r="DR158" s="10"/>
    </row>
    <row r="159" spans="1:122" ht="15.75" customHeight="1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299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206"/>
      <c r="AO159" s="206"/>
      <c r="AP159" s="206"/>
      <c r="AQ159" s="206"/>
      <c r="AR159" s="206"/>
      <c r="AS159" s="206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2"/>
      <c r="CG159" s="192"/>
      <c r="CH159" s="192"/>
      <c r="CI159" s="192"/>
      <c r="CJ159" s="192"/>
      <c r="CK159" s="192"/>
      <c r="CL159" s="192"/>
      <c r="CM159" s="192"/>
      <c r="CN159" s="192"/>
      <c r="CO159" s="192"/>
      <c r="CP159" s="192"/>
      <c r="CQ159" s="192"/>
      <c r="CR159" s="192"/>
      <c r="CS159" s="192"/>
      <c r="CT159" s="192"/>
      <c r="CU159" s="192"/>
      <c r="CV159" s="192"/>
      <c r="CW159" s="192"/>
      <c r="CX159" s="192"/>
      <c r="CY159" s="192"/>
      <c r="CZ159" s="192"/>
      <c r="DA159" s="192"/>
      <c r="DB159" s="192"/>
      <c r="DC159" s="192"/>
      <c r="DD159" s="192"/>
      <c r="DE159" s="192"/>
      <c r="DF159" s="192"/>
      <c r="DG159" s="205"/>
      <c r="DH159" s="205"/>
      <c r="DI159" s="205"/>
      <c r="DJ159" s="192"/>
      <c r="DK159" s="192"/>
      <c r="DL159" s="192"/>
      <c r="DM159" s="10"/>
      <c r="DN159" s="10"/>
      <c r="DO159" s="10"/>
      <c r="DP159" s="10"/>
      <c r="DQ159" s="10"/>
      <c r="DR159" s="10"/>
    </row>
    <row r="160" spans="1:122" ht="15.75" customHeight="1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206"/>
      <c r="AO160" s="206"/>
      <c r="AP160" s="206"/>
      <c r="AQ160" s="206"/>
      <c r="AR160" s="206"/>
      <c r="AS160" s="206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  <c r="BD160" s="192"/>
      <c r="BE160" s="192"/>
      <c r="BF160" s="192"/>
      <c r="BG160" s="192"/>
      <c r="BH160" s="192"/>
      <c r="BI160" s="192"/>
      <c r="BJ160" s="192"/>
      <c r="BK160" s="192"/>
      <c r="BL160" s="192"/>
      <c r="BM160" s="192"/>
      <c r="BN160" s="192"/>
      <c r="BO160" s="192"/>
      <c r="BP160" s="192"/>
      <c r="BQ160" s="192"/>
      <c r="BR160" s="192"/>
      <c r="BS160" s="192"/>
      <c r="BT160" s="192"/>
      <c r="BU160" s="192"/>
      <c r="BV160" s="192"/>
      <c r="BW160" s="192"/>
      <c r="BX160" s="192"/>
      <c r="BY160" s="192"/>
      <c r="BZ160" s="192"/>
      <c r="CA160" s="192"/>
      <c r="CB160" s="192"/>
      <c r="CC160" s="192"/>
      <c r="CD160" s="192"/>
      <c r="CE160" s="192"/>
      <c r="CF160" s="192"/>
      <c r="CG160" s="192"/>
      <c r="CH160" s="192"/>
      <c r="CI160" s="192"/>
      <c r="CJ160" s="192"/>
      <c r="CK160" s="192"/>
      <c r="CL160" s="192"/>
      <c r="CM160" s="192"/>
      <c r="CN160" s="192"/>
      <c r="CO160" s="192"/>
      <c r="CP160" s="192"/>
      <c r="CQ160" s="192"/>
      <c r="CR160" s="192"/>
      <c r="CS160" s="192"/>
      <c r="CT160" s="192"/>
      <c r="CU160" s="192"/>
      <c r="CV160" s="192"/>
      <c r="CW160" s="192"/>
      <c r="CX160" s="192"/>
      <c r="CY160" s="192"/>
      <c r="CZ160" s="192"/>
      <c r="DA160" s="192"/>
      <c r="DB160" s="192"/>
      <c r="DC160" s="192"/>
      <c r="DD160" s="192"/>
      <c r="DE160" s="192"/>
      <c r="DF160" s="192"/>
      <c r="DG160" s="205"/>
      <c r="DH160" s="205"/>
      <c r="DI160" s="205"/>
      <c r="DJ160" s="192"/>
      <c r="DK160" s="192"/>
      <c r="DL160" s="192"/>
      <c r="DM160" s="10"/>
      <c r="DN160" s="10"/>
      <c r="DO160" s="10"/>
      <c r="DP160" s="10"/>
      <c r="DQ160" s="10"/>
      <c r="DR160" s="10"/>
    </row>
    <row r="161" spans="1:122" ht="15.75" customHeight="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206"/>
      <c r="AO161" s="206"/>
      <c r="AP161" s="206"/>
      <c r="AQ161" s="206"/>
      <c r="AR161" s="206"/>
      <c r="AS161" s="206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  <c r="BD161" s="192"/>
      <c r="BE161" s="192"/>
      <c r="BF161" s="192"/>
      <c r="BG161" s="192"/>
      <c r="BH161" s="192"/>
      <c r="BI161" s="192"/>
      <c r="BJ161" s="192"/>
      <c r="BK161" s="192"/>
      <c r="BL161" s="192"/>
      <c r="BM161" s="192"/>
      <c r="BN161" s="192"/>
      <c r="BO161" s="192"/>
      <c r="BP161" s="192"/>
      <c r="BQ161" s="192"/>
      <c r="BR161" s="192"/>
      <c r="BS161" s="192"/>
      <c r="BT161" s="192"/>
      <c r="BU161" s="192"/>
      <c r="BV161" s="192"/>
      <c r="BW161" s="192"/>
      <c r="BX161" s="192"/>
      <c r="BY161" s="192"/>
      <c r="BZ161" s="192"/>
      <c r="CA161" s="192"/>
      <c r="CB161" s="192"/>
      <c r="CC161" s="192"/>
      <c r="CD161" s="192"/>
      <c r="CE161" s="192"/>
      <c r="CF161" s="192"/>
      <c r="CG161" s="192"/>
      <c r="CH161" s="192"/>
      <c r="CI161" s="192"/>
      <c r="CJ161" s="192"/>
      <c r="CK161" s="192"/>
      <c r="CL161" s="192"/>
      <c r="CM161" s="192"/>
      <c r="CN161" s="192"/>
      <c r="CO161" s="192"/>
      <c r="CP161" s="192"/>
      <c r="CQ161" s="192"/>
      <c r="CR161" s="192"/>
      <c r="CS161" s="192"/>
      <c r="CT161" s="192"/>
      <c r="CU161" s="192"/>
      <c r="CV161" s="192"/>
      <c r="CW161" s="192"/>
      <c r="CX161" s="192"/>
      <c r="CY161" s="192"/>
      <c r="CZ161" s="192"/>
      <c r="DA161" s="192"/>
      <c r="DB161" s="192"/>
      <c r="DC161" s="192"/>
      <c r="DD161" s="192"/>
      <c r="DE161" s="192"/>
      <c r="DF161" s="192"/>
      <c r="DG161" s="205"/>
      <c r="DH161" s="205"/>
      <c r="DI161" s="205"/>
      <c r="DJ161" s="192"/>
      <c r="DK161" s="192"/>
      <c r="DL161" s="192"/>
      <c r="DM161" s="10"/>
      <c r="DN161" s="10"/>
      <c r="DO161" s="10"/>
      <c r="DP161" s="10"/>
      <c r="DQ161" s="10"/>
      <c r="DR161" s="10"/>
    </row>
    <row r="162" spans="1:122" ht="15.75" customHeight="1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206"/>
      <c r="AO162" s="206"/>
      <c r="AP162" s="206"/>
      <c r="AQ162" s="206"/>
      <c r="AR162" s="206"/>
      <c r="AS162" s="206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  <c r="BD162" s="192"/>
      <c r="BE162" s="192"/>
      <c r="BF162" s="192"/>
      <c r="BG162" s="192"/>
      <c r="BH162" s="192"/>
      <c r="BI162" s="192"/>
      <c r="BJ162" s="192"/>
      <c r="BK162" s="192"/>
      <c r="BL162" s="192"/>
      <c r="BM162" s="192"/>
      <c r="BN162" s="192"/>
      <c r="BO162" s="192"/>
      <c r="BP162" s="192"/>
      <c r="BQ162" s="192"/>
      <c r="BR162" s="192"/>
      <c r="BS162" s="192"/>
      <c r="BT162" s="192"/>
      <c r="BU162" s="192"/>
      <c r="BV162" s="192"/>
      <c r="BW162" s="192"/>
      <c r="BX162" s="192"/>
      <c r="BY162" s="192"/>
      <c r="BZ162" s="192"/>
      <c r="CA162" s="192"/>
      <c r="CB162" s="192"/>
      <c r="CC162" s="192"/>
      <c r="CD162" s="192"/>
      <c r="CE162" s="192"/>
      <c r="CF162" s="192"/>
      <c r="CG162" s="192"/>
      <c r="CH162" s="192"/>
      <c r="CI162" s="192"/>
      <c r="CJ162" s="192"/>
      <c r="CK162" s="192"/>
      <c r="CL162" s="192"/>
      <c r="CM162" s="192"/>
      <c r="CN162" s="192"/>
      <c r="CO162" s="192"/>
      <c r="CP162" s="192"/>
      <c r="CQ162" s="192"/>
      <c r="CR162" s="192"/>
      <c r="CS162" s="192"/>
      <c r="CT162" s="192"/>
      <c r="CU162" s="192"/>
      <c r="CV162" s="192"/>
      <c r="CW162" s="192"/>
      <c r="CX162" s="192"/>
      <c r="CY162" s="192"/>
      <c r="CZ162" s="192"/>
      <c r="DA162" s="192"/>
      <c r="DB162" s="192"/>
      <c r="DC162" s="192"/>
      <c r="DD162" s="192"/>
      <c r="DE162" s="192"/>
      <c r="DF162" s="192"/>
      <c r="DG162" s="205"/>
      <c r="DH162" s="205"/>
      <c r="DI162" s="205"/>
      <c r="DJ162" s="192"/>
      <c r="DK162" s="192"/>
      <c r="DL162" s="192"/>
      <c r="DM162" s="10"/>
      <c r="DN162" s="10"/>
      <c r="DO162" s="10"/>
      <c r="DP162" s="10"/>
      <c r="DQ162" s="10"/>
      <c r="DR162" s="10"/>
    </row>
    <row r="163" spans="1:122" ht="15.75" customHeight="1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206"/>
      <c r="AO163" s="206"/>
      <c r="AP163" s="206"/>
      <c r="AQ163" s="206"/>
      <c r="AR163" s="206"/>
      <c r="AS163" s="206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  <c r="BD163" s="192"/>
      <c r="BE163" s="192"/>
      <c r="BF163" s="192"/>
      <c r="BG163" s="192"/>
      <c r="BH163" s="192"/>
      <c r="BI163" s="192"/>
      <c r="BJ163" s="192"/>
      <c r="BK163" s="192"/>
      <c r="BL163" s="192"/>
      <c r="BM163" s="192"/>
      <c r="BN163" s="192"/>
      <c r="BO163" s="192"/>
      <c r="BP163" s="192"/>
      <c r="BQ163" s="192"/>
      <c r="BR163" s="192"/>
      <c r="BS163" s="192"/>
      <c r="BT163" s="192"/>
      <c r="BU163" s="192"/>
      <c r="BV163" s="192"/>
      <c r="BW163" s="192"/>
      <c r="BX163" s="192"/>
      <c r="BY163" s="192"/>
      <c r="BZ163" s="192"/>
      <c r="CA163" s="192"/>
      <c r="CB163" s="192"/>
      <c r="CC163" s="192"/>
      <c r="CD163" s="192"/>
      <c r="CE163" s="192"/>
      <c r="CF163" s="192"/>
      <c r="CG163" s="192"/>
      <c r="CH163" s="192"/>
      <c r="CI163" s="192"/>
      <c r="CJ163" s="192"/>
      <c r="CK163" s="192"/>
      <c r="CL163" s="192"/>
      <c r="CM163" s="192"/>
      <c r="CN163" s="192"/>
      <c r="CO163" s="192"/>
      <c r="CP163" s="192"/>
      <c r="CQ163" s="192"/>
      <c r="CR163" s="192"/>
      <c r="CS163" s="192"/>
      <c r="CT163" s="192"/>
      <c r="CU163" s="192"/>
      <c r="CV163" s="192"/>
      <c r="CW163" s="192"/>
      <c r="CX163" s="192"/>
      <c r="CY163" s="192"/>
      <c r="CZ163" s="192"/>
      <c r="DA163" s="192"/>
      <c r="DB163" s="192"/>
      <c r="DC163" s="192"/>
      <c r="DD163" s="192"/>
      <c r="DE163" s="192"/>
      <c r="DF163" s="192"/>
      <c r="DG163" s="205"/>
      <c r="DH163" s="205"/>
      <c r="DI163" s="205"/>
      <c r="DJ163" s="192"/>
      <c r="DK163" s="192"/>
      <c r="DL163" s="192"/>
      <c r="DM163" s="10"/>
      <c r="DN163" s="10"/>
      <c r="DO163" s="10"/>
      <c r="DP163" s="10"/>
      <c r="DQ163" s="10"/>
      <c r="DR163" s="10"/>
    </row>
    <row r="164" spans="1:122" ht="15.75" customHeight="1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206"/>
      <c r="AO164" s="206"/>
      <c r="AP164" s="206"/>
      <c r="AQ164" s="206"/>
      <c r="AR164" s="206"/>
      <c r="AS164" s="206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  <c r="BD164" s="192"/>
      <c r="BE164" s="192"/>
      <c r="BF164" s="192"/>
      <c r="BG164" s="192"/>
      <c r="BH164" s="192"/>
      <c r="BI164" s="192"/>
      <c r="BJ164" s="192"/>
      <c r="BK164" s="192"/>
      <c r="BL164" s="192"/>
      <c r="BM164" s="192"/>
      <c r="BN164" s="192"/>
      <c r="BO164" s="192"/>
      <c r="BP164" s="192"/>
      <c r="BQ164" s="192"/>
      <c r="BR164" s="192"/>
      <c r="BS164" s="192"/>
      <c r="BT164" s="192"/>
      <c r="BU164" s="192"/>
      <c r="BV164" s="192"/>
      <c r="BW164" s="192"/>
      <c r="BX164" s="192"/>
      <c r="BY164" s="192"/>
      <c r="BZ164" s="192"/>
      <c r="CA164" s="192"/>
      <c r="CB164" s="192"/>
      <c r="CC164" s="192"/>
      <c r="CD164" s="192"/>
      <c r="CE164" s="192"/>
      <c r="CF164" s="192"/>
      <c r="CG164" s="192"/>
      <c r="CH164" s="192"/>
      <c r="CI164" s="192"/>
      <c r="CJ164" s="192"/>
      <c r="CK164" s="192"/>
      <c r="CL164" s="192"/>
      <c r="CM164" s="192"/>
      <c r="CN164" s="192"/>
      <c r="CO164" s="192"/>
      <c r="CP164" s="192"/>
      <c r="CQ164" s="192"/>
      <c r="CR164" s="192"/>
      <c r="CS164" s="192"/>
      <c r="CT164" s="192"/>
      <c r="CU164" s="192"/>
      <c r="CV164" s="192"/>
      <c r="CW164" s="192"/>
      <c r="CX164" s="192"/>
      <c r="CY164" s="192"/>
      <c r="CZ164" s="192"/>
      <c r="DA164" s="192"/>
      <c r="DB164" s="192"/>
      <c r="DC164" s="192"/>
      <c r="DD164" s="192"/>
      <c r="DE164" s="192"/>
      <c r="DF164" s="192"/>
      <c r="DG164" s="205"/>
      <c r="DH164" s="205"/>
      <c r="DI164" s="205"/>
      <c r="DJ164" s="192"/>
      <c r="DK164" s="192"/>
      <c r="DL164" s="192"/>
      <c r="DM164" s="10"/>
      <c r="DN164" s="10"/>
      <c r="DO164" s="10"/>
      <c r="DP164" s="10"/>
      <c r="DQ164" s="10"/>
      <c r="DR164" s="10"/>
    </row>
    <row r="165" spans="1:122" ht="15.75" customHeight="1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206"/>
      <c r="AO165" s="206"/>
      <c r="AP165" s="206"/>
      <c r="AQ165" s="206"/>
      <c r="AR165" s="206"/>
      <c r="AS165" s="206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  <c r="BD165" s="192"/>
      <c r="BE165" s="192"/>
      <c r="BF165" s="192"/>
      <c r="BG165" s="192"/>
      <c r="BH165" s="192"/>
      <c r="BI165" s="192"/>
      <c r="BJ165" s="192"/>
      <c r="BK165" s="192"/>
      <c r="BL165" s="192"/>
      <c r="BM165" s="192"/>
      <c r="BN165" s="192"/>
      <c r="BO165" s="192"/>
      <c r="BP165" s="192"/>
      <c r="BQ165" s="192"/>
      <c r="BR165" s="192"/>
      <c r="BS165" s="192"/>
      <c r="BT165" s="192"/>
      <c r="BU165" s="192"/>
      <c r="BV165" s="192"/>
      <c r="BW165" s="192"/>
      <c r="BX165" s="192"/>
      <c r="BY165" s="192"/>
      <c r="BZ165" s="192"/>
      <c r="CA165" s="192"/>
      <c r="CB165" s="192"/>
      <c r="CC165" s="192"/>
      <c r="CD165" s="192"/>
      <c r="CE165" s="192"/>
      <c r="CF165" s="192"/>
      <c r="CG165" s="192"/>
      <c r="CH165" s="192"/>
      <c r="CI165" s="192"/>
      <c r="CJ165" s="192"/>
      <c r="CK165" s="192"/>
      <c r="CL165" s="192"/>
      <c r="CM165" s="192"/>
      <c r="CN165" s="192"/>
      <c r="CO165" s="192"/>
      <c r="CP165" s="192"/>
      <c r="CQ165" s="192"/>
      <c r="CR165" s="192"/>
      <c r="CS165" s="192"/>
      <c r="CT165" s="192"/>
      <c r="CU165" s="192"/>
      <c r="CV165" s="192"/>
      <c r="CW165" s="192"/>
      <c r="CX165" s="192"/>
      <c r="CY165" s="192"/>
      <c r="CZ165" s="192"/>
      <c r="DA165" s="192"/>
      <c r="DB165" s="192"/>
      <c r="DC165" s="192"/>
      <c r="DD165" s="192"/>
      <c r="DE165" s="192"/>
      <c r="DF165" s="192"/>
      <c r="DG165" s="205"/>
      <c r="DH165" s="205"/>
      <c r="DI165" s="205"/>
      <c r="DJ165" s="192"/>
      <c r="DK165" s="192"/>
      <c r="DL165" s="192"/>
      <c r="DM165" s="10"/>
      <c r="DN165" s="10"/>
      <c r="DO165" s="10"/>
      <c r="DP165" s="10"/>
      <c r="DQ165" s="10"/>
      <c r="DR165" s="10"/>
    </row>
    <row r="166" spans="1:122" ht="15.75" customHeight="1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206"/>
      <c r="AO166" s="206"/>
      <c r="AP166" s="206"/>
      <c r="AQ166" s="206"/>
      <c r="AR166" s="206"/>
      <c r="AS166" s="206"/>
      <c r="AT166" s="192"/>
      <c r="AU166" s="192"/>
      <c r="AV166" s="192"/>
      <c r="AW166" s="192"/>
      <c r="AX166" s="192"/>
      <c r="AY166" s="192"/>
      <c r="AZ166" s="192"/>
      <c r="BA166" s="192"/>
      <c r="BB166" s="192"/>
      <c r="BC166" s="192"/>
      <c r="BD166" s="192"/>
      <c r="BE166" s="192"/>
      <c r="BF166" s="192"/>
      <c r="BG166" s="192"/>
      <c r="BH166" s="192"/>
      <c r="BI166" s="192"/>
      <c r="BJ166" s="192"/>
      <c r="BK166" s="192"/>
      <c r="BL166" s="192"/>
      <c r="BM166" s="192"/>
      <c r="BN166" s="192"/>
      <c r="BO166" s="192"/>
      <c r="BP166" s="192"/>
      <c r="BQ166" s="192"/>
      <c r="BR166" s="192"/>
      <c r="BS166" s="192"/>
      <c r="BT166" s="192"/>
      <c r="BU166" s="192"/>
      <c r="BV166" s="192"/>
      <c r="BW166" s="192"/>
      <c r="BX166" s="192"/>
      <c r="BY166" s="192"/>
      <c r="BZ166" s="192"/>
      <c r="CA166" s="192"/>
      <c r="CB166" s="192"/>
      <c r="CC166" s="192"/>
      <c r="CD166" s="192"/>
      <c r="CE166" s="192"/>
      <c r="CF166" s="192"/>
      <c r="CG166" s="192"/>
      <c r="CH166" s="192"/>
      <c r="CI166" s="192"/>
      <c r="CJ166" s="192"/>
      <c r="CK166" s="192"/>
      <c r="CL166" s="192"/>
      <c r="CM166" s="192"/>
      <c r="CN166" s="192"/>
      <c r="CO166" s="192"/>
      <c r="CP166" s="192"/>
      <c r="CQ166" s="192"/>
      <c r="CR166" s="192"/>
      <c r="CS166" s="192"/>
      <c r="CT166" s="192"/>
      <c r="CU166" s="192"/>
      <c r="CV166" s="192"/>
      <c r="CW166" s="192"/>
      <c r="CX166" s="192"/>
      <c r="CY166" s="192"/>
      <c r="CZ166" s="192"/>
      <c r="DA166" s="192"/>
      <c r="DB166" s="192"/>
      <c r="DC166" s="192"/>
      <c r="DD166" s="192"/>
      <c r="DE166" s="192"/>
      <c r="DF166" s="192"/>
      <c r="DG166" s="205"/>
      <c r="DH166" s="205"/>
      <c r="DI166" s="205"/>
      <c r="DJ166" s="192"/>
      <c r="DK166" s="192"/>
      <c r="DL166" s="192"/>
      <c r="DM166" s="10"/>
      <c r="DN166" s="10"/>
      <c r="DO166" s="10"/>
      <c r="DP166" s="10"/>
      <c r="DQ166" s="10"/>
      <c r="DR166" s="10"/>
    </row>
    <row r="167" spans="1:122" ht="15.75" customHeight="1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206"/>
      <c r="AO167" s="206"/>
      <c r="AP167" s="206"/>
      <c r="AQ167" s="206"/>
      <c r="AR167" s="206"/>
      <c r="AS167" s="206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  <c r="BD167" s="192"/>
      <c r="BE167" s="192"/>
      <c r="BF167" s="192"/>
      <c r="BG167" s="192"/>
      <c r="BH167" s="192"/>
      <c r="BI167" s="192"/>
      <c r="BJ167" s="192"/>
      <c r="BK167" s="192"/>
      <c r="BL167" s="192"/>
      <c r="BM167" s="192"/>
      <c r="BN167" s="192"/>
      <c r="BO167" s="192"/>
      <c r="BP167" s="192"/>
      <c r="BQ167" s="192"/>
      <c r="BR167" s="192"/>
      <c r="BS167" s="192"/>
      <c r="BT167" s="192"/>
      <c r="BU167" s="192"/>
      <c r="BV167" s="192"/>
      <c r="BW167" s="192"/>
      <c r="BX167" s="192"/>
      <c r="BY167" s="192"/>
      <c r="BZ167" s="192"/>
      <c r="CA167" s="192"/>
      <c r="CB167" s="192"/>
      <c r="CC167" s="192"/>
      <c r="CD167" s="192"/>
      <c r="CE167" s="192"/>
      <c r="CF167" s="192"/>
      <c r="CG167" s="192"/>
      <c r="CH167" s="192"/>
      <c r="CI167" s="192"/>
      <c r="CJ167" s="192"/>
      <c r="CK167" s="192"/>
      <c r="CL167" s="192"/>
      <c r="CM167" s="192"/>
      <c r="CN167" s="192"/>
      <c r="CO167" s="192"/>
      <c r="CP167" s="192"/>
      <c r="CQ167" s="192"/>
      <c r="CR167" s="192"/>
      <c r="CS167" s="192"/>
      <c r="CT167" s="192"/>
      <c r="CU167" s="192"/>
      <c r="CV167" s="192"/>
      <c r="CW167" s="192"/>
      <c r="CX167" s="192"/>
      <c r="CY167" s="192"/>
      <c r="CZ167" s="192"/>
      <c r="DA167" s="192"/>
      <c r="DB167" s="192"/>
      <c r="DC167" s="192"/>
      <c r="DD167" s="192"/>
      <c r="DE167" s="192"/>
      <c r="DF167" s="192"/>
      <c r="DG167" s="205"/>
      <c r="DH167" s="205"/>
      <c r="DI167" s="205"/>
      <c r="DJ167" s="192"/>
      <c r="DK167" s="192"/>
      <c r="DL167" s="192"/>
      <c r="DM167" s="10"/>
      <c r="DN167" s="10"/>
      <c r="DO167" s="10"/>
      <c r="DP167" s="10"/>
      <c r="DQ167" s="10"/>
      <c r="DR167" s="10"/>
    </row>
    <row r="168" spans="1:122" ht="15.75" customHeight="1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206"/>
      <c r="AO168" s="206"/>
      <c r="AP168" s="206"/>
      <c r="AQ168" s="206"/>
      <c r="AR168" s="206"/>
      <c r="AS168" s="206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  <c r="BD168" s="192"/>
      <c r="BE168" s="192"/>
      <c r="BF168" s="192"/>
      <c r="BG168" s="192"/>
      <c r="BH168" s="192"/>
      <c r="BI168" s="192"/>
      <c r="BJ168" s="192"/>
      <c r="BK168" s="192"/>
      <c r="BL168" s="192"/>
      <c r="BM168" s="192"/>
      <c r="BN168" s="192"/>
      <c r="BO168" s="192"/>
      <c r="BP168" s="192"/>
      <c r="BQ168" s="192"/>
      <c r="BR168" s="192"/>
      <c r="BS168" s="192"/>
      <c r="BT168" s="192"/>
      <c r="BU168" s="192"/>
      <c r="BV168" s="192"/>
      <c r="BW168" s="192"/>
      <c r="BX168" s="192"/>
      <c r="BY168" s="192"/>
      <c r="BZ168" s="192"/>
      <c r="CA168" s="192"/>
      <c r="CB168" s="192"/>
      <c r="CC168" s="192"/>
      <c r="CD168" s="192"/>
      <c r="CE168" s="192"/>
      <c r="CF168" s="192"/>
      <c r="CG168" s="192"/>
      <c r="CH168" s="192"/>
      <c r="CI168" s="192"/>
      <c r="CJ168" s="192"/>
      <c r="CK168" s="192"/>
      <c r="CL168" s="192"/>
      <c r="CM168" s="192"/>
      <c r="CN168" s="192"/>
      <c r="CO168" s="192"/>
      <c r="CP168" s="192"/>
      <c r="CQ168" s="192"/>
      <c r="CR168" s="192"/>
      <c r="CS168" s="192"/>
      <c r="CT168" s="192"/>
      <c r="CU168" s="192"/>
      <c r="CV168" s="192"/>
      <c r="CW168" s="192"/>
      <c r="CX168" s="192"/>
      <c r="CY168" s="192"/>
      <c r="CZ168" s="192"/>
      <c r="DA168" s="192"/>
      <c r="DB168" s="192"/>
      <c r="DC168" s="192"/>
      <c r="DD168" s="192"/>
      <c r="DE168" s="192"/>
      <c r="DF168" s="192"/>
      <c r="DG168" s="205"/>
      <c r="DH168" s="205"/>
      <c r="DI168" s="205"/>
      <c r="DJ168" s="192"/>
      <c r="DK168" s="192"/>
      <c r="DL168" s="192"/>
      <c r="DM168" s="10"/>
      <c r="DN168" s="10"/>
      <c r="DO168" s="10"/>
      <c r="DP168" s="10"/>
      <c r="DQ168" s="10"/>
      <c r="DR168" s="10"/>
    </row>
    <row r="169" spans="1:122" ht="15.75" customHeight="1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206"/>
      <c r="AO169" s="206"/>
      <c r="AP169" s="206"/>
      <c r="AQ169" s="206"/>
      <c r="AR169" s="206"/>
      <c r="AS169" s="206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  <c r="BD169" s="192"/>
      <c r="BE169" s="192"/>
      <c r="BF169" s="192"/>
      <c r="BG169" s="192"/>
      <c r="BH169" s="192"/>
      <c r="BI169" s="192"/>
      <c r="BJ169" s="192"/>
      <c r="BK169" s="192"/>
      <c r="BL169" s="192"/>
      <c r="BM169" s="192"/>
      <c r="BN169" s="192"/>
      <c r="BO169" s="192"/>
      <c r="BP169" s="192"/>
      <c r="BQ169" s="192"/>
      <c r="BR169" s="192"/>
      <c r="BS169" s="192"/>
      <c r="BT169" s="192"/>
      <c r="BU169" s="192"/>
      <c r="BV169" s="192"/>
      <c r="BW169" s="192"/>
      <c r="BX169" s="192"/>
      <c r="BY169" s="192"/>
      <c r="BZ169" s="192"/>
      <c r="CA169" s="192"/>
      <c r="CB169" s="192"/>
      <c r="CC169" s="192"/>
      <c r="CD169" s="192"/>
      <c r="CE169" s="192"/>
      <c r="CF169" s="192"/>
      <c r="CG169" s="192"/>
      <c r="CH169" s="192"/>
      <c r="CI169" s="192"/>
      <c r="CJ169" s="192"/>
      <c r="CK169" s="192"/>
      <c r="CL169" s="192"/>
      <c r="CM169" s="192"/>
      <c r="CN169" s="192"/>
      <c r="CO169" s="192"/>
      <c r="CP169" s="192"/>
      <c r="CQ169" s="192"/>
      <c r="CR169" s="192"/>
      <c r="CS169" s="192"/>
      <c r="CT169" s="192"/>
      <c r="CU169" s="192"/>
      <c r="CV169" s="192"/>
      <c r="CW169" s="192"/>
      <c r="CX169" s="192"/>
      <c r="CY169" s="192"/>
      <c r="CZ169" s="192"/>
      <c r="DA169" s="192"/>
      <c r="DB169" s="192"/>
      <c r="DC169" s="192"/>
      <c r="DD169" s="192"/>
      <c r="DE169" s="192"/>
      <c r="DF169" s="192"/>
      <c r="DG169" s="205"/>
      <c r="DH169" s="205"/>
      <c r="DI169" s="205"/>
      <c r="DJ169" s="192"/>
      <c r="DK169" s="192"/>
      <c r="DL169" s="192"/>
      <c r="DM169" s="10"/>
      <c r="DN169" s="10"/>
      <c r="DO169" s="10"/>
      <c r="DP169" s="10"/>
      <c r="DQ169" s="10"/>
      <c r="DR169" s="10"/>
    </row>
    <row r="170" spans="1:122" ht="15.75" customHeight="1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206"/>
      <c r="AO170" s="206"/>
      <c r="AP170" s="206"/>
      <c r="AQ170" s="206"/>
      <c r="AR170" s="206"/>
      <c r="AS170" s="206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  <c r="BD170" s="192"/>
      <c r="BE170" s="192"/>
      <c r="BF170" s="192"/>
      <c r="BG170" s="192"/>
      <c r="BH170" s="192"/>
      <c r="BI170" s="192"/>
      <c r="BJ170" s="192"/>
      <c r="BK170" s="192"/>
      <c r="BL170" s="192"/>
      <c r="BM170" s="192"/>
      <c r="BN170" s="192"/>
      <c r="BO170" s="192"/>
      <c r="BP170" s="192"/>
      <c r="BQ170" s="192"/>
      <c r="BR170" s="192"/>
      <c r="BS170" s="192"/>
      <c r="BT170" s="192"/>
      <c r="BU170" s="192"/>
      <c r="BV170" s="192"/>
      <c r="BW170" s="192"/>
      <c r="BX170" s="192"/>
      <c r="BY170" s="192"/>
      <c r="BZ170" s="192"/>
      <c r="CA170" s="192"/>
      <c r="CB170" s="192"/>
      <c r="CC170" s="192"/>
      <c r="CD170" s="192"/>
      <c r="CE170" s="192"/>
      <c r="CF170" s="192"/>
      <c r="CG170" s="192"/>
      <c r="CH170" s="192"/>
      <c r="CI170" s="192"/>
      <c r="CJ170" s="192"/>
      <c r="CK170" s="192"/>
      <c r="CL170" s="192"/>
      <c r="CM170" s="192"/>
      <c r="CN170" s="192"/>
      <c r="CO170" s="192"/>
      <c r="CP170" s="192"/>
      <c r="CQ170" s="192"/>
      <c r="CR170" s="192"/>
      <c r="CS170" s="192"/>
      <c r="CT170" s="192"/>
      <c r="CU170" s="192"/>
      <c r="CV170" s="192"/>
      <c r="CW170" s="192"/>
      <c r="CX170" s="192"/>
      <c r="CY170" s="192"/>
      <c r="CZ170" s="192"/>
      <c r="DA170" s="192"/>
      <c r="DB170" s="192"/>
      <c r="DC170" s="192"/>
      <c r="DD170" s="192"/>
      <c r="DE170" s="192"/>
      <c r="DF170" s="192"/>
      <c r="DG170" s="205"/>
      <c r="DH170" s="205"/>
      <c r="DI170" s="205"/>
      <c r="DJ170" s="192"/>
      <c r="DK170" s="192"/>
      <c r="DL170" s="192"/>
      <c r="DM170" s="10"/>
      <c r="DN170" s="10"/>
      <c r="DO170" s="10"/>
      <c r="DP170" s="10"/>
      <c r="DQ170" s="10"/>
      <c r="DR170" s="10"/>
    </row>
    <row r="171" spans="1:122" ht="15.75" customHeight="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206"/>
      <c r="AO171" s="206"/>
      <c r="AP171" s="206"/>
      <c r="AQ171" s="206"/>
      <c r="AR171" s="206"/>
      <c r="AS171" s="206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  <c r="BD171" s="192"/>
      <c r="BE171" s="192"/>
      <c r="BF171" s="192"/>
      <c r="BG171" s="192"/>
      <c r="BH171" s="192"/>
      <c r="BI171" s="192"/>
      <c r="BJ171" s="192"/>
      <c r="BK171" s="192"/>
      <c r="BL171" s="192"/>
      <c r="BM171" s="192"/>
      <c r="BN171" s="192"/>
      <c r="BO171" s="192"/>
      <c r="BP171" s="192"/>
      <c r="BQ171" s="192"/>
      <c r="BR171" s="192"/>
      <c r="BS171" s="192"/>
      <c r="BT171" s="192"/>
      <c r="BU171" s="192"/>
      <c r="BV171" s="192"/>
      <c r="BW171" s="192"/>
      <c r="BX171" s="192"/>
      <c r="BY171" s="192"/>
      <c r="BZ171" s="192"/>
      <c r="CA171" s="192"/>
      <c r="CB171" s="192"/>
      <c r="CC171" s="192"/>
      <c r="CD171" s="192"/>
      <c r="CE171" s="192"/>
      <c r="CF171" s="192"/>
      <c r="CG171" s="192"/>
      <c r="CH171" s="192"/>
      <c r="CI171" s="192"/>
      <c r="CJ171" s="192"/>
      <c r="CK171" s="192"/>
      <c r="CL171" s="192"/>
      <c r="CM171" s="192"/>
      <c r="CN171" s="192"/>
      <c r="CO171" s="192"/>
      <c r="CP171" s="192"/>
      <c r="CQ171" s="192"/>
      <c r="CR171" s="192"/>
      <c r="CS171" s="192"/>
      <c r="CT171" s="192"/>
      <c r="CU171" s="192"/>
      <c r="CV171" s="192"/>
      <c r="CW171" s="192"/>
      <c r="CX171" s="192"/>
      <c r="CY171" s="192"/>
      <c r="CZ171" s="192"/>
      <c r="DA171" s="192"/>
      <c r="DB171" s="192"/>
      <c r="DC171" s="192"/>
      <c r="DD171" s="192"/>
      <c r="DE171" s="192"/>
      <c r="DF171" s="192"/>
      <c r="DG171" s="205"/>
      <c r="DH171" s="205"/>
      <c r="DI171" s="205"/>
      <c r="DJ171" s="192"/>
      <c r="DK171" s="192"/>
      <c r="DL171" s="192"/>
      <c r="DM171" s="10"/>
      <c r="DN171" s="10"/>
      <c r="DO171" s="10"/>
      <c r="DP171" s="10"/>
      <c r="DQ171" s="10"/>
      <c r="DR171" s="10"/>
    </row>
    <row r="172" spans="1:122" ht="15.75" customHeight="1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206"/>
      <c r="AO172" s="206"/>
      <c r="AP172" s="206"/>
      <c r="AQ172" s="206"/>
      <c r="AR172" s="206"/>
      <c r="AS172" s="206"/>
      <c r="AT172" s="192"/>
      <c r="AU172" s="192"/>
      <c r="AV172" s="192"/>
      <c r="AW172" s="192"/>
      <c r="AX172" s="192"/>
      <c r="AY172" s="192"/>
      <c r="AZ172" s="192"/>
      <c r="BA172" s="192"/>
      <c r="BB172" s="192"/>
      <c r="BC172" s="192"/>
      <c r="BD172" s="192"/>
      <c r="BE172" s="192"/>
      <c r="BF172" s="192"/>
      <c r="BG172" s="192"/>
      <c r="BH172" s="192"/>
      <c r="BI172" s="192"/>
      <c r="BJ172" s="192"/>
      <c r="BK172" s="192"/>
      <c r="BL172" s="192"/>
      <c r="BM172" s="192"/>
      <c r="BN172" s="192"/>
      <c r="BO172" s="192"/>
      <c r="BP172" s="192"/>
      <c r="BQ172" s="192"/>
      <c r="BR172" s="192"/>
      <c r="BS172" s="192"/>
      <c r="BT172" s="192"/>
      <c r="BU172" s="192"/>
      <c r="BV172" s="192"/>
      <c r="BW172" s="192"/>
      <c r="BX172" s="192"/>
      <c r="BY172" s="192"/>
      <c r="BZ172" s="192"/>
      <c r="CA172" s="192"/>
      <c r="CB172" s="192"/>
      <c r="CC172" s="192"/>
      <c r="CD172" s="192"/>
      <c r="CE172" s="192"/>
      <c r="CF172" s="192"/>
      <c r="CG172" s="192"/>
      <c r="CH172" s="192"/>
      <c r="CI172" s="192"/>
      <c r="CJ172" s="192"/>
      <c r="CK172" s="192"/>
      <c r="CL172" s="192"/>
      <c r="CM172" s="192"/>
      <c r="CN172" s="192"/>
      <c r="CO172" s="192"/>
      <c r="CP172" s="192"/>
      <c r="CQ172" s="192"/>
      <c r="CR172" s="192"/>
      <c r="CS172" s="192"/>
      <c r="CT172" s="192"/>
      <c r="CU172" s="192"/>
      <c r="CV172" s="192"/>
      <c r="CW172" s="192"/>
      <c r="CX172" s="192"/>
      <c r="CY172" s="192"/>
      <c r="CZ172" s="192"/>
      <c r="DA172" s="192"/>
      <c r="DB172" s="192"/>
      <c r="DC172" s="192"/>
      <c r="DD172" s="192"/>
      <c r="DE172" s="192"/>
      <c r="DF172" s="192"/>
      <c r="DG172" s="205"/>
      <c r="DH172" s="205"/>
      <c r="DI172" s="205"/>
      <c r="DJ172" s="192"/>
      <c r="DK172" s="192"/>
      <c r="DL172" s="192"/>
      <c r="DM172" s="10"/>
      <c r="DN172" s="10"/>
      <c r="DO172" s="10"/>
      <c r="DP172" s="10"/>
      <c r="DQ172" s="10"/>
      <c r="DR172" s="10"/>
    </row>
    <row r="173" spans="1:122" ht="15.75" customHeight="1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206"/>
      <c r="AO173" s="206"/>
      <c r="AP173" s="206"/>
      <c r="AQ173" s="206"/>
      <c r="AR173" s="206"/>
      <c r="AS173" s="206"/>
      <c r="AT173" s="192"/>
      <c r="AU173" s="192"/>
      <c r="AV173" s="192"/>
      <c r="AW173" s="192"/>
      <c r="AX173" s="192"/>
      <c r="AY173" s="192"/>
      <c r="AZ173" s="192"/>
      <c r="BA173" s="192"/>
      <c r="BB173" s="192"/>
      <c r="BC173" s="192"/>
      <c r="BD173" s="192"/>
      <c r="BE173" s="192"/>
      <c r="BF173" s="192"/>
      <c r="BG173" s="192"/>
      <c r="BH173" s="192"/>
      <c r="BI173" s="192"/>
      <c r="BJ173" s="192"/>
      <c r="BK173" s="192"/>
      <c r="BL173" s="192"/>
      <c r="BM173" s="192"/>
      <c r="BN173" s="192"/>
      <c r="BO173" s="192"/>
      <c r="BP173" s="192"/>
      <c r="BQ173" s="192"/>
      <c r="BR173" s="192"/>
      <c r="BS173" s="192"/>
      <c r="BT173" s="192"/>
      <c r="BU173" s="192"/>
      <c r="BV173" s="192"/>
      <c r="BW173" s="192"/>
      <c r="BX173" s="192"/>
      <c r="BY173" s="192"/>
      <c r="BZ173" s="192"/>
      <c r="CA173" s="192"/>
      <c r="CB173" s="192"/>
      <c r="CC173" s="192"/>
      <c r="CD173" s="192"/>
      <c r="CE173" s="192"/>
      <c r="CF173" s="192"/>
      <c r="CG173" s="192"/>
      <c r="CH173" s="192"/>
      <c r="CI173" s="192"/>
      <c r="CJ173" s="192"/>
      <c r="CK173" s="192"/>
      <c r="CL173" s="192"/>
      <c r="CM173" s="192"/>
      <c r="CN173" s="192"/>
      <c r="CO173" s="192"/>
      <c r="CP173" s="192"/>
      <c r="CQ173" s="192"/>
      <c r="CR173" s="192"/>
      <c r="CS173" s="192"/>
      <c r="CT173" s="192"/>
      <c r="CU173" s="192"/>
      <c r="CV173" s="192"/>
      <c r="CW173" s="192"/>
      <c r="CX173" s="192"/>
      <c r="CY173" s="192"/>
      <c r="CZ173" s="192"/>
      <c r="DA173" s="192"/>
      <c r="DB173" s="192"/>
      <c r="DC173" s="192"/>
      <c r="DD173" s="192"/>
      <c r="DE173" s="192"/>
      <c r="DF173" s="192"/>
      <c r="DG173" s="205"/>
      <c r="DH173" s="205"/>
      <c r="DI173" s="205"/>
      <c r="DJ173" s="192"/>
      <c r="DK173" s="192"/>
      <c r="DL173" s="192"/>
      <c r="DM173" s="10"/>
      <c r="DN173" s="10"/>
      <c r="DO173" s="10"/>
      <c r="DP173" s="10"/>
      <c r="DQ173" s="10"/>
      <c r="DR173" s="10"/>
    </row>
    <row r="174" spans="1:122" ht="15.75" customHeight="1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212"/>
      <c r="AO174" s="212"/>
      <c r="AP174" s="192"/>
      <c r="AQ174" s="192"/>
      <c r="AR174" s="192"/>
      <c r="AS174" s="192"/>
      <c r="AT174" s="192"/>
      <c r="AU174" s="192"/>
      <c r="AV174" s="192"/>
      <c r="AW174" s="192"/>
      <c r="AX174" s="192"/>
      <c r="AY174" s="192"/>
      <c r="AZ174" s="192"/>
      <c r="BA174" s="192"/>
      <c r="BB174" s="192"/>
      <c r="BC174" s="192"/>
      <c r="BD174" s="192"/>
      <c r="BE174" s="192"/>
      <c r="BF174" s="192"/>
      <c r="BG174" s="192"/>
      <c r="BH174" s="192"/>
      <c r="BI174" s="192"/>
      <c r="BJ174" s="192"/>
      <c r="BK174" s="192"/>
      <c r="BL174" s="192"/>
      <c r="BM174" s="192"/>
      <c r="BN174" s="192"/>
      <c r="BO174" s="192"/>
      <c r="BP174" s="192"/>
      <c r="BQ174" s="192"/>
      <c r="BR174" s="192"/>
      <c r="BS174" s="192"/>
      <c r="BT174" s="192"/>
      <c r="BU174" s="192"/>
      <c r="BV174" s="192"/>
      <c r="BW174" s="192"/>
      <c r="BX174" s="192"/>
      <c r="BY174" s="192"/>
      <c r="BZ174" s="192"/>
      <c r="CA174" s="192"/>
      <c r="CB174" s="192"/>
      <c r="CC174" s="192"/>
      <c r="CD174" s="192"/>
      <c r="CE174" s="192"/>
      <c r="CF174" s="192"/>
      <c r="CG174" s="192"/>
      <c r="CH174" s="192"/>
      <c r="CI174" s="192"/>
      <c r="CJ174" s="192"/>
      <c r="CK174" s="192"/>
      <c r="CL174" s="192"/>
      <c r="CM174" s="192"/>
      <c r="CN174" s="192"/>
      <c r="CO174" s="192"/>
      <c r="CP174" s="192"/>
      <c r="CQ174" s="192"/>
      <c r="CR174" s="192"/>
      <c r="CS174" s="192"/>
      <c r="CT174" s="192"/>
      <c r="CU174" s="192"/>
      <c r="CV174" s="192"/>
      <c r="CW174" s="192"/>
      <c r="CX174" s="192"/>
      <c r="CY174" s="192"/>
      <c r="CZ174" s="192"/>
      <c r="DA174" s="192"/>
      <c r="DB174" s="192"/>
      <c r="DC174" s="192"/>
      <c r="DD174" s="192"/>
      <c r="DE174" s="192"/>
      <c r="DF174" s="192"/>
      <c r="DG174" s="205"/>
      <c r="DH174" s="205"/>
      <c r="DI174" s="205"/>
      <c r="DJ174" s="192"/>
      <c r="DK174" s="192"/>
      <c r="DL174" s="192"/>
      <c r="DM174" s="10"/>
      <c r="DN174" s="10"/>
      <c r="DO174" s="10"/>
      <c r="DP174" s="10"/>
      <c r="DQ174" s="10"/>
      <c r="DR174" s="10"/>
    </row>
    <row r="175" spans="1:122" ht="15.75" customHeight="1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212"/>
      <c r="AO175" s="212"/>
      <c r="AP175" s="192"/>
      <c r="AQ175" s="192"/>
      <c r="AR175" s="192"/>
      <c r="AS175" s="192"/>
      <c r="AT175" s="192"/>
      <c r="AU175" s="192"/>
      <c r="AV175" s="192"/>
      <c r="AW175" s="192"/>
      <c r="AX175" s="192"/>
      <c r="AY175" s="192"/>
      <c r="AZ175" s="192"/>
      <c r="BA175" s="192"/>
      <c r="BB175" s="192"/>
      <c r="BC175" s="192"/>
      <c r="BD175" s="192"/>
      <c r="BE175" s="192"/>
      <c r="BF175" s="192"/>
      <c r="BG175" s="192"/>
      <c r="BH175" s="192"/>
      <c r="BI175" s="192"/>
      <c r="BJ175" s="192"/>
      <c r="BK175" s="192"/>
      <c r="BL175" s="192"/>
      <c r="BM175" s="192"/>
      <c r="BN175" s="192"/>
      <c r="BO175" s="192"/>
      <c r="BP175" s="192"/>
      <c r="BQ175" s="192"/>
      <c r="BR175" s="192"/>
      <c r="BS175" s="192"/>
      <c r="BT175" s="192"/>
      <c r="BU175" s="192"/>
      <c r="BV175" s="192"/>
      <c r="BW175" s="192"/>
      <c r="BX175" s="192"/>
      <c r="BY175" s="192"/>
      <c r="BZ175" s="192"/>
      <c r="CA175" s="192"/>
      <c r="CB175" s="192"/>
      <c r="CC175" s="192"/>
      <c r="CD175" s="192"/>
      <c r="CE175" s="192"/>
      <c r="CF175" s="192"/>
      <c r="CG175" s="192"/>
      <c r="CH175" s="192"/>
      <c r="CI175" s="192"/>
      <c r="CJ175" s="192"/>
      <c r="CK175" s="192"/>
      <c r="CL175" s="192"/>
      <c r="CM175" s="192"/>
      <c r="CN175" s="192"/>
      <c r="CO175" s="192"/>
      <c r="CP175" s="192"/>
      <c r="CQ175" s="192"/>
      <c r="CR175" s="192"/>
      <c r="CS175" s="192"/>
      <c r="CT175" s="192"/>
      <c r="CU175" s="192"/>
      <c r="CV175" s="192"/>
      <c r="CW175" s="192"/>
      <c r="CX175" s="192"/>
      <c r="CY175" s="192"/>
      <c r="CZ175" s="192"/>
      <c r="DA175" s="192"/>
      <c r="DB175" s="192"/>
      <c r="DC175" s="192"/>
      <c r="DD175" s="192"/>
      <c r="DE175" s="192"/>
      <c r="DF175" s="192"/>
      <c r="DG175" s="205"/>
      <c r="DH175" s="205"/>
      <c r="DI175" s="205"/>
      <c r="DJ175" s="192"/>
      <c r="DK175" s="192"/>
      <c r="DL175" s="192"/>
      <c r="DM175" s="10"/>
      <c r="DN175" s="10"/>
      <c r="DO175" s="10"/>
      <c r="DP175" s="10"/>
      <c r="DQ175" s="10"/>
      <c r="DR175" s="10"/>
    </row>
    <row r="176" spans="1:122" ht="15.75" customHeight="1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212"/>
      <c r="AO176" s="212"/>
      <c r="AP176" s="192"/>
      <c r="AQ176" s="192"/>
      <c r="AR176" s="192"/>
      <c r="AS176" s="192"/>
      <c r="AT176" s="192"/>
      <c r="AU176" s="192"/>
      <c r="AV176" s="192"/>
      <c r="AW176" s="192"/>
      <c r="AX176" s="192"/>
      <c r="AY176" s="192"/>
      <c r="AZ176" s="192"/>
      <c r="BA176" s="192"/>
      <c r="BB176" s="192"/>
      <c r="BC176" s="192"/>
      <c r="BD176" s="192"/>
      <c r="BE176" s="192"/>
      <c r="BF176" s="192"/>
      <c r="BG176" s="192"/>
      <c r="BH176" s="192"/>
      <c r="BI176" s="192"/>
      <c r="BJ176" s="192"/>
      <c r="BK176" s="192"/>
      <c r="BL176" s="192"/>
      <c r="BM176" s="192"/>
      <c r="BN176" s="192"/>
      <c r="BO176" s="192"/>
      <c r="BP176" s="192"/>
      <c r="BQ176" s="192"/>
      <c r="BR176" s="192"/>
      <c r="BS176" s="192"/>
      <c r="BT176" s="192"/>
      <c r="BU176" s="192"/>
      <c r="BV176" s="192"/>
      <c r="BW176" s="192"/>
      <c r="BX176" s="192"/>
      <c r="BY176" s="192"/>
      <c r="BZ176" s="192"/>
      <c r="CA176" s="192"/>
      <c r="CB176" s="192"/>
      <c r="CC176" s="192"/>
      <c r="CD176" s="192"/>
      <c r="CE176" s="192"/>
      <c r="CF176" s="192"/>
      <c r="CG176" s="192"/>
      <c r="CH176" s="192"/>
      <c r="CI176" s="192"/>
      <c r="CJ176" s="192"/>
      <c r="CK176" s="192"/>
      <c r="CL176" s="192"/>
      <c r="CM176" s="192"/>
      <c r="CN176" s="192"/>
      <c r="CO176" s="192"/>
      <c r="CP176" s="192"/>
      <c r="CQ176" s="192"/>
      <c r="CR176" s="192"/>
      <c r="CS176" s="192"/>
      <c r="CT176" s="192"/>
      <c r="CU176" s="192"/>
      <c r="CV176" s="192"/>
      <c r="CW176" s="192"/>
      <c r="CX176" s="192"/>
      <c r="CY176" s="192"/>
      <c r="CZ176" s="192"/>
      <c r="DA176" s="192"/>
      <c r="DB176" s="192"/>
      <c r="DC176" s="192"/>
      <c r="DD176" s="192"/>
      <c r="DE176" s="192"/>
      <c r="DF176" s="192"/>
      <c r="DG176" s="205"/>
      <c r="DH176" s="205"/>
      <c r="DI176" s="205"/>
      <c r="DJ176" s="192"/>
      <c r="DK176" s="192"/>
      <c r="DL176" s="192"/>
      <c r="DM176" s="10"/>
      <c r="DN176" s="10"/>
      <c r="DO176" s="10"/>
      <c r="DP176" s="10"/>
      <c r="DQ176" s="10"/>
      <c r="DR176" s="10"/>
    </row>
    <row r="177" spans="1:122" ht="15.75" customHeight="1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212"/>
      <c r="AO177" s="212"/>
      <c r="AP177" s="192"/>
      <c r="AQ177" s="192"/>
      <c r="AR177" s="192"/>
      <c r="AS177" s="192"/>
      <c r="AT177" s="192"/>
      <c r="AU177" s="192"/>
      <c r="AV177" s="192"/>
      <c r="AW177" s="192"/>
      <c r="AX177" s="192"/>
      <c r="AY177" s="192"/>
      <c r="AZ177" s="192"/>
      <c r="BA177" s="192"/>
      <c r="BB177" s="192"/>
      <c r="BC177" s="192"/>
      <c r="BD177" s="192"/>
      <c r="BE177" s="192"/>
      <c r="BF177" s="192"/>
      <c r="BG177" s="192"/>
      <c r="BH177" s="192"/>
      <c r="BI177" s="192"/>
      <c r="BJ177" s="192"/>
      <c r="BK177" s="192"/>
      <c r="BL177" s="192"/>
      <c r="BM177" s="192"/>
      <c r="BN177" s="192"/>
      <c r="BO177" s="192"/>
      <c r="BP177" s="192"/>
      <c r="BQ177" s="192"/>
      <c r="BR177" s="192"/>
      <c r="BS177" s="192"/>
      <c r="BT177" s="192"/>
      <c r="BU177" s="192"/>
      <c r="BV177" s="192"/>
      <c r="BW177" s="192"/>
      <c r="BX177" s="192"/>
      <c r="BY177" s="192"/>
      <c r="BZ177" s="192"/>
      <c r="CA177" s="192"/>
      <c r="CB177" s="192"/>
      <c r="CC177" s="192"/>
      <c r="CD177" s="192"/>
      <c r="CE177" s="192"/>
      <c r="CF177" s="192"/>
      <c r="CG177" s="192"/>
      <c r="CH177" s="192"/>
      <c r="CI177" s="192"/>
      <c r="CJ177" s="192"/>
      <c r="CK177" s="192"/>
      <c r="CL177" s="192"/>
      <c r="CM177" s="192"/>
      <c r="CN177" s="192"/>
      <c r="CO177" s="192"/>
      <c r="CP177" s="192"/>
      <c r="CQ177" s="192"/>
      <c r="CR177" s="192"/>
      <c r="CS177" s="192"/>
      <c r="CT177" s="192"/>
      <c r="CU177" s="192"/>
      <c r="CV177" s="192"/>
      <c r="CW177" s="192"/>
      <c r="CX177" s="192"/>
      <c r="CY177" s="192"/>
      <c r="CZ177" s="192"/>
      <c r="DA177" s="192"/>
      <c r="DB177" s="192"/>
      <c r="DC177" s="192"/>
      <c r="DD177" s="192"/>
      <c r="DE177" s="192"/>
      <c r="DF177" s="192"/>
      <c r="DG177" s="205"/>
      <c r="DH177" s="205"/>
      <c r="DI177" s="205"/>
      <c r="DJ177" s="192"/>
      <c r="DK177" s="192"/>
      <c r="DL177" s="192"/>
      <c r="DM177" s="10"/>
      <c r="DN177" s="10"/>
      <c r="DO177" s="10"/>
      <c r="DP177" s="10"/>
      <c r="DQ177" s="10"/>
      <c r="DR177" s="10"/>
    </row>
    <row r="178" spans="1:122" ht="15.75" customHeight="1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212"/>
      <c r="AO178" s="212"/>
      <c r="AP178" s="192"/>
      <c r="AQ178" s="192"/>
      <c r="AR178" s="192"/>
      <c r="AS178" s="192"/>
      <c r="AT178" s="192"/>
      <c r="AU178" s="192"/>
      <c r="AV178" s="192"/>
      <c r="AW178" s="192"/>
      <c r="AX178" s="192"/>
      <c r="AY178" s="192"/>
      <c r="AZ178" s="192"/>
      <c r="BA178" s="192"/>
      <c r="BB178" s="192"/>
      <c r="BC178" s="192"/>
      <c r="BD178" s="192"/>
      <c r="BE178" s="192"/>
      <c r="BF178" s="192"/>
      <c r="BG178" s="192"/>
      <c r="BH178" s="192"/>
      <c r="BI178" s="192"/>
      <c r="BJ178" s="192"/>
      <c r="BK178" s="192"/>
      <c r="BL178" s="192"/>
      <c r="BM178" s="192"/>
      <c r="BN178" s="192"/>
      <c r="BO178" s="192"/>
      <c r="BP178" s="192"/>
      <c r="BQ178" s="192"/>
      <c r="BR178" s="192"/>
      <c r="BS178" s="192"/>
      <c r="BT178" s="192"/>
      <c r="BU178" s="192"/>
      <c r="BV178" s="192"/>
      <c r="BW178" s="192"/>
      <c r="BX178" s="192"/>
      <c r="BY178" s="192"/>
      <c r="BZ178" s="192"/>
      <c r="CA178" s="192"/>
      <c r="CB178" s="192"/>
      <c r="CC178" s="192"/>
      <c r="CD178" s="192"/>
      <c r="CE178" s="192"/>
      <c r="CF178" s="192"/>
      <c r="CG178" s="192"/>
      <c r="CH178" s="192"/>
      <c r="CI178" s="192"/>
      <c r="CJ178" s="192"/>
      <c r="CK178" s="192"/>
      <c r="CL178" s="192"/>
      <c r="CM178" s="192"/>
      <c r="CN178" s="192"/>
      <c r="CO178" s="192"/>
      <c r="CP178" s="192"/>
      <c r="CQ178" s="192"/>
      <c r="CR178" s="192"/>
      <c r="CS178" s="192"/>
      <c r="CT178" s="192"/>
      <c r="CU178" s="192"/>
      <c r="CV178" s="192"/>
      <c r="CW178" s="192"/>
      <c r="CX178" s="192"/>
      <c r="CY178" s="192"/>
      <c r="CZ178" s="192"/>
      <c r="DA178" s="192"/>
      <c r="DB178" s="192"/>
      <c r="DC178" s="192"/>
      <c r="DD178" s="192"/>
      <c r="DE178" s="192"/>
      <c r="DF178" s="192"/>
      <c r="DG178" s="205"/>
      <c r="DH178" s="205"/>
      <c r="DI178" s="205"/>
      <c r="DJ178" s="192"/>
      <c r="DK178" s="192"/>
      <c r="DL178" s="192"/>
      <c r="DM178" s="10"/>
      <c r="DN178" s="10"/>
      <c r="DO178" s="10"/>
      <c r="DP178" s="10"/>
      <c r="DQ178" s="10"/>
      <c r="DR178" s="10"/>
    </row>
    <row r="179" spans="1:122" ht="15.75" customHeight="1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212"/>
      <c r="AO179" s="212"/>
      <c r="AP179" s="192"/>
      <c r="AQ179" s="192"/>
      <c r="AR179" s="192"/>
      <c r="AS179" s="192"/>
      <c r="AT179" s="192"/>
      <c r="AU179" s="192"/>
      <c r="AV179" s="192"/>
      <c r="AW179" s="192"/>
      <c r="AX179" s="192"/>
      <c r="AY179" s="192"/>
      <c r="AZ179" s="192"/>
      <c r="BA179" s="192"/>
      <c r="BB179" s="192"/>
      <c r="BC179" s="192"/>
      <c r="BD179" s="192"/>
      <c r="BE179" s="192"/>
      <c r="BF179" s="192"/>
      <c r="BG179" s="192"/>
      <c r="BH179" s="192"/>
      <c r="BI179" s="192"/>
      <c r="BJ179" s="192"/>
      <c r="BK179" s="192"/>
      <c r="BL179" s="192"/>
      <c r="BM179" s="192"/>
      <c r="BN179" s="192"/>
      <c r="BO179" s="192"/>
      <c r="BP179" s="192"/>
      <c r="BQ179" s="192"/>
      <c r="BR179" s="192"/>
      <c r="BS179" s="192"/>
      <c r="BT179" s="192"/>
      <c r="BU179" s="192"/>
      <c r="BV179" s="192"/>
      <c r="BW179" s="192"/>
      <c r="BX179" s="192"/>
      <c r="BY179" s="192"/>
      <c r="BZ179" s="192"/>
      <c r="CA179" s="192"/>
      <c r="CB179" s="192"/>
      <c r="CC179" s="192"/>
      <c r="CD179" s="192"/>
      <c r="CE179" s="192"/>
      <c r="CF179" s="192"/>
      <c r="CG179" s="192"/>
      <c r="CH179" s="192"/>
      <c r="CI179" s="192"/>
      <c r="CJ179" s="192"/>
      <c r="CK179" s="192"/>
      <c r="CL179" s="192"/>
      <c r="CM179" s="192"/>
      <c r="CN179" s="192"/>
      <c r="CO179" s="192"/>
      <c r="CP179" s="192"/>
      <c r="CQ179" s="192"/>
      <c r="CR179" s="192"/>
      <c r="CS179" s="192"/>
      <c r="CT179" s="192"/>
      <c r="CU179" s="192"/>
      <c r="CV179" s="192"/>
      <c r="CW179" s="192"/>
      <c r="CX179" s="192"/>
      <c r="CY179" s="192"/>
      <c r="CZ179" s="192"/>
      <c r="DA179" s="192"/>
      <c r="DB179" s="192"/>
      <c r="DC179" s="192"/>
      <c r="DD179" s="192"/>
      <c r="DE179" s="192"/>
      <c r="DF179" s="192"/>
      <c r="DG179" s="205"/>
      <c r="DH179" s="205"/>
      <c r="DI179" s="205"/>
      <c r="DJ179" s="192"/>
      <c r="DK179" s="192"/>
      <c r="DL179" s="192"/>
      <c r="DM179" s="10"/>
      <c r="DN179" s="10"/>
      <c r="DO179" s="10"/>
      <c r="DP179" s="10"/>
      <c r="DQ179" s="10"/>
      <c r="DR179" s="10"/>
    </row>
    <row r="180" spans="1:122" ht="15.75" customHeight="1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212"/>
      <c r="AO180" s="212"/>
      <c r="AP180" s="192"/>
      <c r="AQ180" s="192"/>
      <c r="AR180" s="192"/>
      <c r="AS180" s="192"/>
      <c r="AT180" s="192"/>
      <c r="AU180" s="192"/>
      <c r="AV180" s="192"/>
      <c r="AW180" s="192"/>
      <c r="AX180" s="192"/>
      <c r="AY180" s="192"/>
      <c r="AZ180" s="192"/>
      <c r="BA180" s="192"/>
      <c r="BB180" s="192"/>
      <c r="BC180" s="192"/>
      <c r="BD180" s="192"/>
      <c r="BE180" s="192"/>
      <c r="BF180" s="192"/>
      <c r="BG180" s="192"/>
      <c r="BH180" s="192"/>
      <c r="BI180" s="192"/>
      <c r="BJ180" s="192"/>
      <c r="BK180" s="192"/>
      <c r="BL180" s="192"/>
      <c r="BM180" s="192"/>
      <c r="BN180" s="192"/>
      <c r="BO180" s="192"/>
      <c r="BP180" s="192"/>
      <c r="BQ180" s="192"/>
      <c r="BR180" s="192"/>
      <c r="BS180" s="192"/>
      <c r="BT180" s="192"/>
      <c r="BU180" s="192"/>
      <c r="BV180" s="192"/>
      <c r="BW180" s="192"/>
      <c r="BX180" s="192"/>
      <c r="BY180" s="192"/>
      <c r="BZ180" s="192"/>
      <c r="CA180" s="192"/>
      <c r="CB180" s="192"/>
      <c r="CC180" s="192"/>
      <c r="CD180" s="192"/>
      <c r="CE180" s="192"/>
      <c r="CF180" s="192"/>
      <c r="CG180" s="192"/>
      <c r="CH180" s="192"/>
      <c r="CI180" s="192"/>
      <c r="CJ180" s="192"/>
      <c r="CK180" s="192"/>
      <c r="CL180" s="192"/>
      <c r="CM180" s="192"/>
      <c r="CN180" s="192"/>
      <c r="CO180" s="192"/>
      <c r="CP180" s="192"/>
      <c r="CQ180" s="192"/>
      <c r="CR180" s="192"/>
      <c r="CS180" s="192"/>
      <c r="CT180" s="192"/>
      <c r="CU180" s="192"/>
      <c r="CV180" s="192"/>
      <c r="CW180" s="192"/>
      <c r="CX180" s="192"/>
      <c r="CY180" s="192"/>
      <c r="CZ180" s="192"/>
      <c r="DA180" s="192"/>
      <c r="DB180" s="192"/>
      <c r="DC180" s="192"/>
      <c r="DD180" s="192"/>
      <c r="DE180" s="192"/>
      <c r="DF180" s="192"/>
      <c r="DG180" s="205"/>
      <c r="DH180" s="205"/>
      <c r="DI180" s="205"/>
      <c r="DJ180" s="192"/>
      <c r="DK180" s="192"/>
      <c r="DL180" s="192"/>
      <c r="DM180" s="10"/>
      <c r="DN180" s="10"/>
      <c r="DO180" s="10"/>
      <c r="DP180" s="10"/>
      <c r="DQ180" s="10"/>
      <c r="DR180" s="10"/>
    </row>
    <row r="181" spans="1:122" ht="15.75" customHeight="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212"/>
      <c r="AO181" s="212"/>
      <c r="AP181" s="192"/>
      <c r="AQ181" s="192"/>
      <c r="AR181" s="192"/>
      <c r="AS181" s="192"/>
      <c r="AT181" s="192"/>
      <c r="AU181" s="192"/>
      <c r="AV181" s="192"/>
      <c r="AW181" s="192"/>
      <c r="AX181" s="192"/>
      <c r="AY181" s="192"/>
      <c r="AZ181" s="192"/>
      <c r="BA181" s="192"/>
      <c r="BB181" s="192"/>
      <c r="BC181" s="192"/>
      <c r="BD181" s="192"/>
      <c r="BE181" s="192"/>
      <c r="BF181" s="192"/>
      <c r="BG181" s="192"/>
      <c r="BH181" s="192"/>
      <c r="BI181" s="192"/>
      <c r="BJ181" s="192"/>
      <c r="BK181" s="192"/>
      <c r="BL181" s="192"/>
      <c r="BM181" s="192"/>
      <c r="BN181" s="192"/>
      <c r="BO181" s="192"/>
      <c r="BP181" s="192"/>
      <c r="BQ181" s="192"/>
      <c r="BR181" s="192"/>
      <c r="BS181" s="192"/>
      <c r="BT181" s="192"/>
      <c r="BU181" s="192"/>
      <c r="BV181" s="192"/>
      <c r="BW181" s="192"/>
      <c r="BX181" s="192"/>
      <c r="BY181" s="192"/>
      <c r="BZ181" s="192"/>
      <c r="CA181" s="192"/>
      <c r="CB181" s="192"/>
      <c r="CC181" s="192"/>
      <c r="CD181" s="192"/>
      <c r="CE181" s="192"/>
      <c r="CF181" s="192"/>
      <c r="CG181" s="192"/>
      <c r="CH181" s="192"/>
      <c r="CI181" s="192"/>
      <c r="CJ181" s="192"/>
      <c r="CK181" s="192"/>
      <c r="CL181" s="192"/>
      <c r="CM181" s="192"/>
      <c r="CN181" s="192"/>
      <c r="CO181" s="192"/>
      <c r="CP181" s="192"/>
      <c r="CQ181" s="192"/>
      <c r="CR181" s="192"/>
      <c r="CS181" s="192"/>
      <c r="CT181" s="192"/>
      <c r="CU181" s="192"/>
      <c r="CV181" s="192"/>
      <c r="CW181" s="192"/>
      <c r="CX181" s="192"/>
      <c r="CY181" s="192"/>
      <c r="CZ181" s="192"/>
      <c r="DA181" s="192"/>
      <c r="DB181" s="192"/>
      <c r="DC181" s="192"/>
      <c r="DD181" s="192"/>
      <c r="DE181" s="192"/>
      <c r="DF181" s="192"/>
      <c r="DG181" s="205"/>
      <c r="DH181" s="205"/>
      <c r="DI181" s="205"/>
      <c r="DJ181" s="192"/>
      <c r="DK181" s="192"/>
      <c r="DL181" s="192"/>
      <c r="DM181" s="10"/>
      <c r="DN181" s="10"/>
      <c r="DO181" s="10"/>
      <c r="DP181" s="10"/>
      <c r="DQ181" s="10"/>
      <c r="DR181" s="10"/>
    </row>
    <row r="182" spans="1:122" ht="15.75" customHeight="1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206"/>
      <c r="AO182" s="206"/>
      <c r="AP182" s="206"/>
      <c r="AQ182" s="192"/>
      <c r="AR182" s="192"/>
      <c r="AS182" s="192"/>
      <c r="AT182" s="192"/>
      <c r="AU182" s="192"/>
      <c r="AV182" s="192"/>
      <c r="AW182" s="192"/>
      <c r="AX182" s="192"/>
      <c r="AY182" s="192"/>
      <c r="AZ182" s="192"/>
      <c r="BA182" s="192"/>
      <c r="BB182" s="192"/>
      <c r="BC182" s="192"/>
      <c r="BD182" s="192"/>
      <c r="BE182" s="192"/>
      <c r="BF182" s="192"/>
      <c r="BG182" s="192"/>
      <c r="BH182" s="192"/>
      <c r="BI182" s="192"/>
      <c r="BJ182" s="192"/>
      <c r="BK182" s="192"/>
      <c r="BL182" s="192"/>
      <c r="BM182" s="192"/>
      <c r="BN182" s="192"/>
      <c r="BO182" s="192"/>
      <c r="BP182" s="192"/>
      <c r="BQ182" s="192"/>
      <c r="BR182" s="192"/>
      <c r="BS182" s="192"/>
      <c r="BT182" s="192"/>
      <c r="BU182" s="192"/>
      <c r="BV182" s="192"/>
      <c r="BW182" s="192"/>
      <c r="BX182" s="192"/>
      <c r="BY182" s="192"/>
      <c r="BZ182" s="192"/>
      <c r="CA182" s="192"/>
      <c r="CB182" s="192"/>
      <c r="CC182" s="192"/>
      <c r="CD182" s="192"/>
      <c r="CE182" s="192"/>
      <c r="CF182" s="192"/>
      <c r="CG182" s="192"/>
      <c r="CH182" s="192"/>
      <c r="CI182" s="192"/>
      <c r="CJ182" s="192"/>
      <c r="CK182" s="192"/>
      <c r="CL182" s="192"/>
      <c r="CM182" s="192"/>
      <c r="CN182" s="192"/>
      <c r="CO182" s="192"/>
      <c r="CP182" s="192"/>
      <c r="CQ182" s="192"/>
      <c r="CR182" s="192"/>
      <c r="CS182" s="192"/>
      <c r="CT182" s="192"/>
      <c r="CU182" s="192"/>
      <c r="CV182" s="192"/>
      <c r="CW182" s="192"/>
      <c r="CX182" s="192"/>
      <c r="CY182" s="192"/>
      <c r="CZ182" s="192"/>
      <c r="DA182" s="192"/>
      <c r="DB182" s="192"/>
      <c r="DC182" s="192"/>
      <c r="DD182" s="192"/>
      <c r="DE182" s="192"/>
      <c r="DF182" s="192"/>
      <c r="DG182" s="205"/>
      <c r="DH182" s="205"/>
      <c r="DI182" s="205"/>
      <c r="DJ182" s="192"/>
      <c r="DK182" s="192"/>
      <c r="DL182" s="192"/>
      <c r="DM182" s="10"/>
      <c r="DN182" s="10"/>
      <c r="DO182" s="10"/>
      <c r="DP182" s="10"/>
      <c r="DQ182" s="10"/>
      <c r="DR182" s="10"/>
    </row>
    <row r="183" spans="1:122" ht="15.75" customHeight="1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206"/>
      <c r="AO183" s="206"/>
      <c r="AP183" s="206"/>
      <c r="AQ183" s="192"/>
      <c r="AR183" s="192"/>
      <c r="AS183" s="192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192"/>
      <c r="BD183" s="192"/>
      <c r="BE183" s="192"/>
      <c r="BF183" s="192"/>
      <c r="BG183" s="192"/>
      <c r="BH183" s="192"/>
      <c r="BI183" s="192"/>
      <c r="BJ183" s="192"/>
      <c r="BK183" s="192"/>
      <c r="BL183" s="192"/>
      <c r="BM183" s="192"/>
      <c r="BN183" s="192"/>
      <c r="BO183" s="192"/>
      <c r="BP183" s="192"/>
      <c r="BQ183" s="192"/>
      <c r="BR183" s="192"/>
      <c r="BS183" s="192"/>
      <c r="BT183" s="192"/>
      <c r="BU183" s="192"/>
      <c r="BV183" s="192"/>
      <c r="BW183" s="192"/>
      <c r="BX183" s="192"/>
      <c r="BY183" s="192"/>
      <c r="BZ183" s="192"/>
      <c r="CA183" s="192"/>
      <c r="CB183" s="192"/>
      <c r="CC183" s="192"/>
      <c r="CD183" s="192"/>
      <c r="CE183" s="192"/>
      <c r="CF183" s="192"/>
      <c r="CG183" s="192"/>
      <c r="CH183" s="192"/>
      <c r="CI183" s="192"/>
      <c r="CJ183" s="192"/>
      <c r="CK183" s="192"/>
      <c r="CL183" s="192"/>
      <c r="CM183" s="192"/>
      <c r="CN183" s="192"/>
      <c r="CO183" s="192"/>
      <c r="CP183" s="192"/>
      <c r="CQ183" s="192"/>
      <c r="CR183" s="192"/>
      <c r="CS183" s="192"/>
      <c r="CT183" s="192"/>
      <c r="CU183" s="192"/>
      <c r="CV183" s="192"/>
      <c r="CW183" s="192"/>
      <c r="CX183" s="192"/>
      <c r="CY183" s="192"/>
      <c r="CZ183" s="192"/>
      <c r="DA183" s="192"/>
      <c r="DB183" s="192"/>
      <c r="DC183" s="192"/>
      <c r="DD183" s="192"/>
      <c r="DE183" s="192"/>
      <c r="DF183" s="192"/>
      <c r="DG183" s="205"/>
      <c r="DH183" s="205"/>
      <c r="DI183" s="205"/>
      <c r="DJ183" s="192"/>
      <c r="DK183" s="192"/>
      <c r="DL183" s="192"/>
      <c r="DM183" s="10"/>
      <c r="DN183" s="10"/>
      <c r="DO183" s="10"/>
      <c r="DP183" s="10"/>
      <c r="DQ183" s="10"/>
      <c r="DR183" s="10"/>
    </row>
    <row r="184" spans="1:122" ht="15.75" customHeight="1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206"/>
      <c r="AO184" s="206"/>
      <c r="AP184" s="206"/>
      <c r="AQ184" s="192"/>
      <c r="AR184" s="192"/>
      <c r="AS184" s="192"/>
      <c r="AT184" s="192"/>
      <c r="AU184" s="192"/>
      <c r="AV184" s="192"/>
      <c r="AW184" s="192"/>
      <c r="AX184" s="192"/>
      <c r="AY184" s="192"/>
      <c r="AZ184" s="192"/>
      <c r="BA184" s="192"/>
      <c r="BB184" s="192"/>
      <c r="BC184" s="192"/>
      <c r="BD184" s="192"/>
      <c r="BE184" s="192"/>
      <c r="BF184" s="192"/>
      <c r="BG184" s="192"/>
      <c r="BH184" s="192"/>
      <c r="BI184" s="192"/>
      <c r="BJ184" s="192"/>
      <c r="BK184" s="192"/>
      <c r="BL184" s="192"/>
      <c r="BM184" s="192"/>
      <c r="BN184" s="192"/>
      <c r="BO184" s="192"/>
      <c r="BP184" s="192"/>
      <c r="BQ184" s="192"/>
      <c r="BR184" s="192"/>
      <c r="BS184" s="192"/>
      <c r="BT184" s="192"/>
      <c r="BU184" s="192"/>
      <c r="BV184" s="192"/>
      <c r="BW184" s="192"/>
      <c r="BX184" s="192"/>
      <c r="BY184" s="192"/>
      <c r="BZ184" s="192"/>
      <c r="CA184" s="192"/>
      <c r="CB184" s="192"/>
      <c r="CC184" s="192"/>
      <c r="CD184" s="192"/>
      <c r="CE184" s="192"/>
      <c r="CF184" s="192"/>
      <c r="CG184" s="192"/>
      <c r="CH184" s="192"/>
      <c r="CI184" s="192"/>
      <c r="CJ184" s="192"/>
      <c r="CK184" s="192"/>
      <c r="CL184" s="192"/>
      <c r="CM184" s="192"/>
      <c r="CN184" s="192"/>
      <c r="CO184" s="192"/>
      <c r="CP184" s="192"/>
      <c r="CQ184" s="192"/>
      <c r="CR184" s="192"/>
      <c r="CS184" s="192"/>
      <c r="CT184" s="192"/>
      <c r="CU184" s="192"/>
      <c r="CV184" s="192"/>
      <c r="CW184" s="192"/>
      <c r="CX184" s="192"/>
      <c r="CY184" s="192"/>
      <c r="CZ184" s="192"/>
      <c r="DA184" s="192"/>
      <c r="DB184" s="192"/>
      <c r="DC184" s="192"/>
      <c r="DD184" s="192"/>
      <c r="DE184" s="192"/>
      <c r="DF184" s="192"/>
      <c r="DG184" s="205"/>
      <c r="DH184" s="205"/>
      <c r="DI184" s="205"/>
      <c r="DJ184" s="192"/>
      <c r="DK184" s="192"/>
      <c r="DL184" s="192"/>
      <c r="DM184" s="10"/>
      <c r="DN184" s="10"/>
      <c r="DO184" s="10"/>
      <c r="DP184" s="10"/>
      <c r="DQ184" s="10"/>
      <c r="DR184" s="10"/>
    </row>
    <row r="185" spans="1:122" ht="15.75" customHeight="1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206"/>
      <c r="AO185" s="206"/>
      <c r="AP185" s="206"/>
      <c r="AQ185" s="192"/>
      <c r="AR185" s="192"/>
      <c r="AS185" s="192"/>
      <c r="AT185" s="192"/>
      <c r="AU185" s="192"/>
      <c r="AV185" s="192"/>
      <c r="AW185" s="192"/>
      <c r="AX185" s="192"/>
      <c r="AY185" s="192"/>
      <c r="AZ185" s="192"/>
      <c r="BA185" s="192"/>
      <c r="BB185" s="192"/>
      <c r="BC185" s="192"/>
      <c r="BD185" s="192"/>
      <c r="BE185" s="192"/>
      <c r="BF185" s="192"/>
      <c r="BG185" s="192"/>
      <c r="BH185" s="192"/>
      <c r="BI185" s="192"/>
      <c r="BJ185" s="192"/>
      <c r="BK185" s="192"/>
      <c r="BL185" s="192"/>
      <c r="BM185" s="192"/>
      <c r="BN185" s="192"/>
      <c r="BO185" s="192"/>
      <c r="BP185" s="192"/>
      <c r="BQ185" s="192"/>
      <c r="BR185" s="192"/>
      <c r="BS185" s="192"/>
      <c r="BT185" s="192"/>
      <c r="BU185" s="192"/>
      <c r="BV185" s="192"/>
      <c r="BW185" s="192"/>
      <c r="BX185" s="192"/>
      <c r="BY185" s="192"/>
      <c r="BZ185" s="192"/>
      <c r="CA185" s="192"/>
      <c r="CB185" s="192"/>
      <c r="CC185" s="192"/>
      <c r="CD185" s="192"/>
      <c r="CE185" s="192"/>
      <c r="CF185" s="192"/>
      <c r="CG185" s="192"/>
      <c r="CH185" s="192"/>
      <c r="CI185" s="192"/>
      <c r="CJ185" s="192"/>
      <c r="CK185" s="192"/>
      <c r="CL185" s="192"/>
      <c r="CM185" s="192"/>
      <c r="CN185" s="192"/>
      <c r="CO185" s="192"/>
      <c r="CP185" s="192"/>
      <c r="CQ185" s="192"/>
      <c r="CR185" s="192"/>
      <c r="CS185" s="192"/>
      <c r="CT185" s="192"/>
      <c r="CU185" s="192"/>
      <c r="CV185" s="192"/>
      <c r="CW185" s="192"/>
      <c r="CX185" s="192"/>
      <c r="CY185" s="192"/>
      <c r="CZ185" s="192"/>
      <c r="DA185" s="192"/>
      <c r="DB185" s="192"/>
      <c r="DC185" s="192"/>
      <c r="DD185" s="192"/>
      <c r="DE185" s="192"/>
      <c r="DF185" s="192"/>
      <c r="DG185" s="205"/>
      <c r="DH185" s="205"/>
      <c r="DI185" s="205"/>
      <c r="DJ185" s="192"/>
      <c r="DK185" s="192"/>
      <c r="DL185" s="192"/>
      <c r="DM185" s="10"/>
      <c r="DN185" s="10"/>
      <c r="DO185" s="10"/>
      <c r="DP185" s="10"/>
      <c r="DQ185" s="10"/>
      <c r="DR185" s="10"/>
    </row>
    <row r="186" spans="1:122" ht="15.75" customHeight="1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92"/>
      <c r="BD186" s="192"/>
      <c r="BE186" s="192"/>
      <c r="BF186" s="192"/>
      <c r="BG186" s="192"/>
      <c r="BH186" s="192"/>
      <c r="BI186" s="192"/>
      <c r="BJ186" s="192"/>
      <c r="BK186" s="192"/>
      <c r="BL186" s="192"/>
      <c r="BM186" s="192"/>
      <c r="BN186" s="192"/>
      <c r="BO186" s="192"/>
      <c r="BP186" s="192"/>
      <c r="BQ186" s="192"/>
      <c r="BR186" s="192"/>
      <c r="BS186" s="192"/>
      <c r="BT186" s="192"/>
      <c r="BU186" s="192"/>
      <c r="BV186" s="192"/>
      <c r="BW186" s="192"/>
      <c r="BX186" s="192"/>
      <c r="BY186" s="192"/>
      <c r="BZ186" s="192"/>
      <c r="CA186" s="192"/>
      <c r="CB186" s="192"/>
      <c r="CC186" s="192"/>
      <c r="CD186" s="192"/>
      <c r="CE186" s="192"/>
      <c r="CF186" s="192"/>
      <c r="CG186" s="192"/>
      <c r="CH186" s="192"/>
      <c r="CI186" s="192"/>
      <c r="CJ186" s="192"/>
      <c r="CK186" s="192"/>
      <c r="CL186" s="192"/>
      <c r="CM186" s="192"/>
      <c r="CN186" s="192"/>
      <c r="CO186" s="192"/>
      <c r="CP186" s="192"/>
      <c r="CQ186" s="192"/>
      <c r="CR186" s="192"/>
      <c r="CS186" s="192"/>
      <c r="CT186" s="192"/>
      <c r="CU186" s="192"/>
      <c r="CV186" s="192"/>
      <c r="CW186" s="192"/>
      <c r="CX186" s="192"/>
      <c r="CY186" s="192"/>
      <c r="CZ186" s="192"/>
      <c r="DA186" s="192"/>
      <c r="DB186" s="192"/>
      <c r="DC186" s="192"/>
      <c r="DD186" s="192"/>
      <c r="DE186" s="192"/>
      <c r="DF186" s="192"/>
      <c r="DG186" s="205"/>
      <c r="DH186" s="205"/>
      <c r="DI186" s="205"/>
      <c r="DJ186" s="192"/>
      <c r="DK186" s="192"/>
      <c r="DL186" s="192"/>
      <c r="DM186" s="10"/>
      <c r="DN186" s="10"/>
      <c r="DO186" s="10"/>
      <c r="DP186" s="10"/>
      <c r="DQ186" s="10"/>
      <c r="DR186" s="10"/>
    </row>
    <row r="187" spans="1:122" ht="15.75" customHeight="1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  <c r="AW187" s="192"/>
      <c r="AX187" s="192"/>
      <c r="AY187" s="192"/>
      <c r="AZ187" s="192"/>
      <c r="BA187" s="192"/>
      <c r="BB187" s="192"/>
      <c r="BC187" s="192"/>
      <c r="BD187" s="192"/>
      <c r="BE187" s="192"/>
      <c r="BF187" s="192"/>
      <c r="BG187" s="192"/>
      <c r="BH187" s="192"/>
      <c r="BI187" s="192"/>
      <c r="BJ187" s="192"/>
      <c r="BK187" s="192"/>
      <c r="BL187" s="192"/>
      <c r="BM187" s="192"/>
      <c r="BN187" s="192"/>
      <c r="BO187" s="192"/>
      <c r="BP187" s="192"/>
      <c r="BQ187" s="192"/>
      <c r="BR187" s="192"/>
      <c r="BS187" s="192"/>
      <c r="BT187" s="192"/>
      <c r="BU187" s="192"/>
      <c r="BV187" s="192"/>
      <c r="BW187" s="192"/>
      <c r="BX187" s="192"/>
      <c r="BY187" s="192"/>
      <c r="BZ187" s="192"/>
      <c r="CA187" s="192"/>
      <c r="CB187" s="192"/>
      <c r="CC187" s="192"/>
      <c r="CD187" s="192"/>
      <c r="CE187" s="192"/>
      <c r="CF187" s="192"/>
      <c r="CG187" s="192"/>
      <c r="CH187" s="192"/>
      <c r="CI187" s="192"/>
      <c r="CJ187" s="192"/>
      <c r="CK187" s="192"/>
      <c r="CL187" s="192"/>
      <c r="CM187" s="192"/>
      <c r="CN187" s="192"/>
      <c r="CO187" s="192"/>
      <c r="CP187" s="192"/>
      <c r="CQ187" s="192"/>
      <c r="CR187" s="192"/>
      <c r="CS187" s="192"/>
      <c r="CT187" s="192"/>
      <c r="CU187" s="192"/>
      <c r="CV187" s="192"/>
      <c r="CW187" s="192"/>
      <c r="CX187" s="192"/>
      <c r="CY187" s="192"/>
      <c r="CZ187" s="192"/>
      <c r="DA187" s="192"/>
      <c r="DB187" s="192"/>
      <c r="DC187" s="192"/>
      <c r="DD187" s="192"/>
      <c r="DE187" s="192"/>
      <c r="DF187" s="192"/>
      <c r="DG187" s="205"/>
      <c r="DH187" s="205"/>
      <c r="DI187" s="205"/>
      <c r="DJ187" s="192"/>
      <c r="DK187" s="192"/>
      <c r="DL187" s="192"/>
      <c r="DM187" s="10"/>
      <c r="DN187" s="10"/>
      <c r="DO187" s="10"/>
      <c r="DP187" s="10"/>
      <c r="DQ187" s="10"/>
      <c r="DR187" s="10"/>
    </row>
    <row r="188" spans="1:122" ht="15.75" customHeight="1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  <c r="AW188" s="192"/>
      <c r="AX188" s="192"/>
      <c r="AY188" s="192"/>
      <c r="AZ188" s="192"/>
      <c r="BA188" s="192"/>
      <c r="BB188" s="192"/>
      <c r="BC188" s="192"/>
      <c r="BD188" s="192"/>
      <c r="BE188" s="192"/>
      <c r="BF188" s="192"/>
      <c r="BG188" s="192"/>
      <c r="BH188" s="192"/>
      <c r="BI188" s="192"/>
      <c r="BJ188" s="192"/>
      <c r="BK188" s="192"/>
      <c r="BL188" s="192"/>
      <c r="BM188" s="192"/>
      <c r="BN188" s="192"/>
      <c r="BO188" s="192"/>
      <c r="BP188" s="192"/>
      <c r="BQ188" s="192"/>
      <c r="BR188" s="192"/>
      <c r="BS188" s="192"/>
      <c r="BT188" s="192"/>
      <c r="BU188" s="192"/>
      <c r="BV188" s="192"/>
      <c r="BW188" s="192"/>
      <c r="BX188" s="192"/>
      <c r="BY188" s="192"/>
      <c r="BZ188" s="192"/>
      <c r="CA188" s="192"/>
      <c r="CB188" s="192"/>
      <c r="CC188" s="192"/>
      <c r="CD188" s="192"/>
      <c r="CE188" s="192"/>
      <c r="CF188" s="192"/>
      <c r="CG188" s="192"/>
      <c r="CH188" s="192"/>
      <c r="CI188" s="192"/>
      <c r="CJ188" s="192"/>
      <c r="CK188" s="192"/>
      <c r="CL188" s="192"/>
      <c r="CM188" s="192"/>
      <c r="CN188" s="192"/>
      <c r="CO188" s="192"/>
      <c r="CP188" s="192"/>
      <c r="CQ188" s="192"/>
      <c r="CR188" s="192"/>
      <c r="CS188" s="192"/>
      <c r="CT188" s="192"/>
      <c r="CU188" s="192"/>
      <c r="CV188" s="192"/>
      <c r="CW188" s="192"/>
      <c r="CX188" s="192"/>
      <c r="CY188" s="192"/>
      <c r="CZ188" s="192"/>
      <c r="DA188" s="192"/>
      <c r="DB188" s="192"/>
      <c r="DC188" s="192"/>
      <c r="DD188" s="192"/>
      <c r="DE188" s="192"/>
      <c r="DF188" s="192"/>
      <c r="DG188" s="205"/>
      <c r="DH188" s="205"/>
      <c r="DI188" s="205"/>
      <c r="DJ188" s="192"/>
      <c r="DK188" s="192"/>
      <c r="DL188" s="192"/>
      <c r="DM188" s="10"/>
      <c r="DN188" s="10"/>
      <c r="DO188" s="10"/>
      <c r="DP188" s="10"/>
      <c r="DQ188" s="10"/>
      <c r="DR188" s="10"/>
    </row>
    <row r="189" spans="1:122" ht="15.75" customHeight="1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92"/>
      <c r="BD189" s="192"/>
      <c r="BE189" s="192"/>
      <c r="BF189" s="192"/>
      <c r="BG189" s="192"/>
      <c r="BH189" s="192"/>
      <c r="BI189" s="192"/>
      <c r="BJ189" s="192"/>
      <c r="BK189" s="192"/>
      <c r="BL189" s="192"/>
      <c r="BM189" s="192"/>
      <c r="BN189" s="192"/>
      <c r="BO189" s="192"/>
      <c r="BP189" s="192"/>
      <c r="BQ189" s="192"/>
      <c r="BR189" s="192"/>
      <c r="BS189" s="192"/>
      <c r="BT189" s="192"/>
      <c r="BU189" s="192"/>
      <c r="BV189" s="192"/>
      <c r="BW189" s="192"/>
      <c r="BX189" s="192"/>
      <c r="BY189" s="192"/>
      <c r="BZ189" s="192"/>
      <c r="CA189" s="192"/>
      <c r="CB189" s="192"/>
      <c r="CC189" s="192"/>
      <c r="CD189" s="192"/>
      <c r="CE189" s="192"/>
      <c r="CF189" s="192"/>
      <c r="CG189" s="192"/>
      <c r="CH189" s="192"/>
      <c r="CI189" s="192"/>
      <c r="CJ189" s="192"/>
      <c r="CK189" s="192"/>
      <c r="CL189" s="192"/>
      <c r="CM189" s="192"/>
      <c r="CN189" s="192"/>
      <c r="CO189" s="192"/>
      <c r="CP189" s="192"/>
      <c r="CQ189" s="192"/>
      <c r="CR189" s="192"/>
      <c r="CS189" s="192"/>
      <c r="CT189" s="192"/>
      <c r="CU189" s="192"/>
      <c r="CV189" s="192"/>
      <c r="CW189" s="192"/>
      <c r="CX189" s="192"/>
      <c r="CY189" s="192"/>
      <c r="CZ189" s="192"/>
      <c r="DA189" s="192"/>
      <c r="DB189" s="192"/>
      <c r="DC189" s="192"/>
      <c r="DD189" s="192"/>
      <c r="DE189" s="192"/>
      <c r="DF189" s="192"/>
      <c r="DG189" s="205"/>
      <c r="DH189" s="205"/>
      <c r="DI189" s="205"/>
      <c r="DJ189" s="192"/>
      <c r="DK189" s="192"/>
      <c r="DL189" s="192"/>
      <c r="DM189" s="10"/>
      <c r="DN189" s="10"/>
      <c r="DO189" s="10"/>
      <c r="DP189" s="10"/>
      <c r="DQ189" s="10"/>
      <c r="DR189" s="10"/>
    </row>
    <row r="190" spans="1:122" ht="15.75" customHeight="1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  <c r="AW190" s="192"/>
      <c r="AX190" s="192"/>
      <c r="AY190" s="192"/>
      <c r="AZ190" s="192"/>
      <c r="BA190" s="192"/>
      <c r="BB190" s="192"/>
      <c r="BC190" s="192"/>
      <c r="BD190" s="192"/>
      <c r="BE190" s="192"/>
      <c r="BF190" s="192"/>
      <c r="BG190" s="192"/>
      <c r="BH190" s="192"/>
      <c r="BI190" s="192"/>
      <c r="BJ190" s="192"/>
      <c r="BK190" s="192"/>
      <c r="BL190" s="192"/>
      <c r="BM190" s="192"/>
      <c r="BN190" s="192"/>
      <c r="BO190" s="192"/>
      <c r="BP190" s="192"/>
      <c r="BQ190" s="192"/>
      <c r="BR190" s="192"/>
      <c r="BS190" s="192"/>
      <c r="BT190" s="192"/>
      <c r="BU190" s="192"/>
      <c r="BV190" s="192"/>
      <c r="BW190" s="192"/>
      <c r="BX190" s="192"/>
      <c r="BY190" s="192"/>
      <c r="BZ190" s="192"/>
      <c r="CA190" s="192"/>
      <c r="CB190" s="192"/>
      <c r="CC190" s="192"/>
      <c r="CD190" s="192"/>
      <c r="CE190" s="192"/>
      <c r="CF190" s="192"/>
      <c r="CG190" s="192"/>
      <c r="CH190" s="192"/>
      <c r="CI190" s="192"/>
      <c r="CJ190" s="192"/>
      <c r="CK190" s="192"/>
      <c r="CL190" s="192"/>
      <c r="CM190" s="192"/>
      <c r="CN190" s="192"/>
      <c r="CO190" s="192"/>
      <c r="CP190" s="192"/>
      <c r="CQ190" s="192"/>
      <c r="CR190" s="192"/>
      <c r="CS190" s="192"/>
      <c r="CT190" s="192"/>
      <c r="CU190" s="192"/>
      <c r="CV190" s="192"/>
      <c r="CW190" s="192"/>
      <c r="CX190" s="192"/>
      <c r="CY190" s="192"/>
      <c r="CZ190" s="192"/>
      <c r="DA190" s="192"/>
      <c r="DB190" s="192"/>
      <c r="DC190" s="192"/>
      <c r="DD190" s="192"/>
      <c r="DE190" s="192"/>
      <c r="DF190" s="192"/>
      <c r="DG190" s="205"/>
      <c r="DH190" s="205"/>
      <c r="DI190" s="205"/>
      <c r="DJ190" s="192"/>
      <c r="DK190" s="192"/>
      <c r="DL190" s="192"/>
      <c r="DM190" s="10"/>
      <c r="DN190" s="10"/>
      <c r="DO190" s="10"/>
      <c r="DP190" s="10"/>
      <c r="DQ190" s="10"/>
      <c r="DR190" s="10"/>
    </row>
    <row r="191" spans="1:122" ht="15.75" customHeight="1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97"/>
      <c r="DH191" s="197"/>
      <c r="DI191" s="197"/>
      <c r="DJ191" s="10"/>
      <c r="DK191" s="10"/>
      <c r="DL191" s="10"/>
      <c r="DM191" s="10"/>
      <c r="DN191" s="10"/>
      <c r="DO191" s="10"/>
      <c r="DP191" s="10"/>
      <c r="DQ191" s="10"/>
      <c r="DR191" s="10"/>
    </row>
    <row r="192" spans="1:122" ht="15.75" customHeight="1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97"/>
      <c r="DH192" s="197"/>
      <c r="DI192" s="197"/>
      <c r="DJ192" s="10"/>
      <c r="DK192" s="10"/>
      <c r="DL192" s="10"/>
      <c r="DM192" s="10"/>
      <c r="DN192" s="10"/>
      <c r="DO192" s="10"/>
      <c r="DP192" s="10"/>
      <c r="DQ192" s="10"/>
      <c r="DR192" s="10"/>
    </row>
    <row r="193" spans="1:122" ht="15.75" customHeight="1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97"/>
      <c r="DH193" s="197"/>
      <c r="DI193" s="197"/>
      <c r="DJ193" s="10"/>
      <c r="DK193" s="10"/>
      <c r="DL193" s="10"/>
      <c r="DM193" s="10"/>
      <c r="DN193" s="10"/>
      <c r="DO193" s="10"/>
      <c r="DP193" s="10"/>
      <c r="DQ193" s="10"/>
      <c r="DR193" s="10"/>
    </row>
    <row r="194" spans="1:122" ht="15.75" customHeight="1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97"/>
      <c r="DH194" s="197"/>
      <c r="DI194" s="197"/>
      <c r="DJ194" s="10"/>
      <c r="DK194" s="10"/>
      <c r="DL194" s="10"/>
      <c r="DM194" s="10"/>
      <c r="DN194" s="10"/>
      <c r="DO194" s="10"/>
      <c r="DP194" s="10"/>
      <c r="DQ194" s="10"/>
      <c r="DR194" s="10"/>
    </row>
    <row r="195" spans="1:122" ht="15.75" customHeight="1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97"/>
      <c r="DH195" s="197"/>
      <c r="DI195" s="197"/>
      <c r="DJ195" s="10"/>
      <c r="DK195" s="10"/>
      <c r="DL195" s="10"/>
      <c r="DM195" s="10"/>
      <c r="DN195" s="10"/>
      <c r="DO195" s="10"/>
      <c r="DP195" s="10"/>
      <c r="DQ195" s="10"/>
      <c r="DR195" s="10"/>
    </row>
    <row r="196" spans="1:122" ht="15.75" customHeight="1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97"/>
      <c r="DH196" s="197"/>
      <c r="DI196" s="197"/>
      <c r="DJ196" s="10"/>
      <c r="DK196" s="10"/>
      <c r="DL196" s="10"/>
      <c r="DM196" s="10"/>
      <c r="DN196" s="10"/>
      <c r="DO196" s="10"/>
      <c r="DP196" s="10"/>
      <c r="DQ196" s="10"/>
      <c r="DR196" s="10"/>
    </row>
    <row r="197" spans="1:122" ht="15.75" customHeight="1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97"/>
      <c r="DH197" s="197"/>
      <c r="DI197" s="197"/>
      <c r="DJ197" s="10"/>
      <c r="DK197" s="10"/>
      <c r="DL197" s="10"/>
      <c r="DM197" s="10"/>
      <c r="DN197" s="10"/>
      <c r="DO197" s="10"/>
      <c r="DP197" s="10"/>
      <c r="DQ197" s="10"/>
      <c r="DR197" s="10"/>
    </row>
    <row r="198" spans="1:122" ht="15.75" customHeight="1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97"/>
      <c r="DH198" s="197"/>
      <c r="DI198" s="197"/>
      <c r="DJ198" s="10"/>
      <c r="DK198" s="10"/>
      <c r="DL198" s="10"/>
      <c r="DM198" s="10"/>
      <c r="DN198" s="10"/>
      <c r="DO198" s="10"/>
      <c r="DP198" s="10"/>
      <c r="DQ198" s="10"/>
      <c r="DR198" s="10"/>
    </row>
    <row r="199" spans="1:122" ht="15.75" customHeight="1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97"/>
      <c r="DH199" s="197"/>
      <c r="DI199" s="197"/>
      <c r="DJ199" s="10"/>
      <c r="DK199" s="10"/>
      <c r="DL199" s="10"/>
      <c r="DM199" s="10"/>
      <c r="DN199" s="10"/>
      <c r="DO199" s="10"/>
      <c r="DP199" s="10"/>
      <c r="DQ199" s="10"/>
      <c r="DR199" s="10"/>
    </row>
    <row r="200" spans="1:122" ht="15.75" customHeight="1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97"/>
      <c r="DH200" s="197"/>
      <c r="DI200" s="197"/>
      <c r="DJ200" s="10"/>
      <c r="DK200" s="10"/>
      <c r="DL200" s="10"/>
      <c r="DM200" s="10"/>
      <c r="DN200" s="10"/>
      <c r="DO200" s="10"/>
      <c r="DP200" s="10"/>
      <c r="DQ200" s="10"/>
      <c r="DR200" s="10"/>
    </row>
    <row r="201" spans="1:122" ht="15.75" customHeight="1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97"/>
      <c r="DH201" s="197"/>
      <c r="DI201" s="197"/>
      <c r="DJ201" s="10"/>
      <c r="DK201" s="10"/>
      <c r="DL201" s="10"/>
      <c r="DM201" s="10"/>
      <c r="DN201" s="10"/>
      <c r="DO201" s="10"/>
      <c r="DP201" s="10"/>
      <c r="DQ201" s="10"/>
      <c r="DR201" s="10"/>
    </row>
    <row r="202" spans="1:122" ht="15.75" customHeight="1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97"/>
      <c r="DH202" s="197"/>
      <c r="DI202" s="197"/>
      <c r="DJ202" s="10"/>
      <c r="DK202" s="10"/>
      <c r="DL202" s="10"/>
      <c r="DM202" s="10"/>
      <c r="DN202" s="10"/>
      <c r="DO202" s="10"/>
      <c r="DP202" s="10"/>
      <c r="DQ202" s="10"/>
      <c r="DR202" s="10"/>
    </row>
    <row r="203" spans="1:122" ht="15.75" customHeight="1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97"/>
      <c r="DH203" s="197"/>
      <c r="DI203" s="197"/>
      <c r="DJ203" s="10"/>
      <c r="DK203" s="10"/>
      <c r="DL203" s="10"/>
      <c r="DM203" s="10"/>
      <c r="DN203" s="10"/>
      <c r="DO203" s="10"/>
      <c r="DP203" s="10"/>
      <c r="DQ203" s="10"/>
      <c r="DR203" s="10"/>
    </row>
    <row r="204" spans="1:122" ht="15.75" customHeight="1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97"/>
      <c r="DH204" s="197"/>
      <c r="DI204" s="197"/>
      <c r="DJ204" s="10"/>
      <c r="DK204" s="10"/>
      <c r="DL204" s="10"/>
      <c r="DM204" s="10"/>
      <c r="DN204" s="10"/>
      <c r="DO204" s="10"/>
      <c r="DP204" s="10"/>
      <c r="DQ204" s="10"/>
      <c r="DR204" s="10"/>
    </row>
    <row r="205" spans="1:122" ht="15.75" customHeight="1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97"/>
      <c r="DH205" s="197"/>
      <c r="DI205" s="197"/>
      <c r="DJ205" s="10"/>
      <c r="DK205" s="10"/>
      <c r="DL205" s="10"/>
      <c r="DM205" s="10"/>
      <c r="DN205" s="10"/>
      <c r="DO205" s="10"/>
      <c r="DP205" s="10"/>
      <c r="DQ205" s="10"/>
      <c r="DR205" s="10"/>
    </row>
    <row r="206" spans="1:122" ht="15.75" customHeight="1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97"/>
      <c r="DH206" s="197"/>
      <c r="DI206" s="197"/>
      <c r="DJ206" s="10"/>
      <c r="DK206" s="10"/>
      <c r="DL206" s="10"/>
      <c r="DM206" s="10"/>
      <c r="DN206" s="10"/>
      <c r="DO206" s="10"/>
      <c r="DP206" s="10"/>
      <c r="DQ206" s="10"/>
      <c r="DR206" s="10"/>
    </row>
    <row r="207" spans="1:122" ht="15.75" customHeight="1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97"/>
      <c r="DH207" s="197"/>
      <c r="DI207" s="197"/>
      <c r="DJ207" s="10"/>
      <c r="DK207" s="10"/>
      <c r="DL207" s="10"/>
      <c r="DM207" s="10"/>
      <c r="DN207" s="10"/>
      <c r="DO207" s="10"/>
      <c r="DP207" s="10"/>
      <c r="DQ207" s="10"/>
      <c r="DR207" s="10"/>
    </row>
    <row r="208" spans="1:122" ht="15.75" customHeight="1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97"/>
      <c r="DH208" s="197"/>
      <c r="DI208" s="197"/>
      <c r="DJ208" s="10"/>
      <c r="DK208" s="10"/>
      <c r="DL208" s="10"/>
      <c r="DM208" s="10"/>
      <c r="DN208" s="10"/>
      <c r="DO208" s="10"/>
      <c r="DP208" s="10"/>
      <c r="DQ208" s="10"/>
      <c r="DR208" s="10"/>
    </row>
    <row r="209" spans="1:122" ht="15.75" customHeight="1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97"/>
      <c r="DH209" s="197"/>
      <c r="DI209" s="197"/>
      <c r="DJ209" s="10"/>
      <c r="DK209" s="10"/>
      <c r="DL209" s="10"/>
      <c r="DM209" s="10"/>
      <c r="DN209" s="10"/>
      <c r="DO209" s="10"/>
      <c r="DP209" s="10"/>
      <c r="DQ209" s="10"/>
      <c r="DR209" s="10"/>
    </row>
    <row r="210" spans="1:122" ht="15.75" customHeight="1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97"/>
      <c r="DH210" s="197"/>
      <c r="DI210" s="197"/>
      <c r="DJ210" s="10"/>
      <c r="DK210" s="10"/>
      <c r="DL210" s="10"/>
      <c r="DM210" s="10"/>
      <c r="DN210" s="10"/>
      <c r="DO210" s="10"/>
      <c r="DP210" s="10"/>
      <c r="DQ210" s="10"/>
      <c r="DR210" s="10"/>
    </row>
    <row r="211" spans="1:122" ht="15.75" customHeight="1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97"/>
      <c r="DH211" s="197"/>
      <c r="DI211" s="197"/>
      <c r="DJ211" s="10"/>
      <c r="DK211" s="10"/>
      <c r="DL211" s="10"/>
      <c r="DM211" s="10"/>
      <c r="DN211" s="10"/>
      <c r="DO211" s="10"/>
      <c r="DP211" s="10"/>
      <c r="DQ211" s="10"/>
      <c r="DR211" s="10"/>
    </row>
    <row r="212" spans="1:122" ht="15.75" customHeight="1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97"/>
      <c r="DH212" s="197"/>
      <c r="DI212" s="197"/>
      <c r="DJ212" s="10"/>
      <c r="DK212" s="10"/>
      <c r="DL212" s="10"/>
      <c r="DM212" s="10"/>
      <c r="DN212" s="10"/>
      <c r="DO212" s="10"/>
      <c r="DP212" s="10"/>
      <c r="DQ212" s="10"/>
      <c r="DR212" s="10"/>
    </row>
    <row r="213" spans="1:122" ht="15.75" customHeight="1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97"/>
      <c r="DH213" s="197"/>
      <c r="DI213" s="197"/>
      <c r="DJ213" s="10"/>
      <c r="DK213" s="10"/>
      <c r="DL213" s="10"/>
      <c r="DM213" s="10"/>
      <c r="DN213" s="10"/>
      <c r="DO213" s="10"/>
      <c r="DP213" s="10"/>
      <c r="DQ213" s="10"/>
      <c r="DR213" s="10"/>
    </row>
    <row r="214" spans="1:122" ht="15.75" customHeight="1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97"/>
      <c r="DH214" s="197"/>
      <c r="DI214" s="197"/>
      <c r="DJ214" s="10"/>
      <c r="DK214" s="10"/>
      <c r="DL214" s="10"/>
      <c r="DM214" s="10"/>
      <c r="DN214" s="10"/>
      <c r="DO214" s="10"/>
      <c r="DP214" s="10"/>
      <c r="DQ214" s="10"/>
      <c r="DR214" s="10"/>
    </row>
    <row r="215" spans="1:122" ht="15.75" customHeight="1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97"/>
      <c r="DH215" s="197"/>
      <c r="DI215" s="197"/>
      <c r="DJ215" s="10"/>
      <c r="DK215" s="10"/>
      <c r="DL215" s="10"/>
      <c r="DM215" s="10"/>
      <c r="DN215" s="10"/>
      <c r="DO215" s="10"/>
      <c r="DP215" s="10"/>
      <c r="DQ215" s="10"/>
      <c r="DR215" s="10"/>
    </row>
    <row r="216" spans="1:122" ht="15.75" customHeight="1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97"/>
      <c r="DH216" s="197"/>
      <c r="DI216" s="197"/>
      <c r="DJ216" s="10"/>
      <c r="DK216" s="10"/>
      <c r="DL216" s="10"/>
      <c r="DM216" s="10"/>
      <c r="DN216" s="10"/>
      <c r="DO216" s="10"/>
      <c r="DP216" s="10"/>
      <c r="DQ216" s="10"/>
      <c r="DR216" s="10"/>
    </row>
    <row r="217" spans="1:122" ht="15.75" customHeight="1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97"/>
      <c r="DH217" s="197"/>
      <c r="DI217" s="197"/>
      <c r="DJ217" s="10"/>
      <c r="DK217" s="10"/>
      <c r="DL217" s="10"/>
      <c r="DM217" s="10"/>
      <c r="DN217" s="10"/>
      <c r="DO217" s="10"/>
      <c r="DP217" s="10"/>
      <c r="DQ217" s="10"/>
      <c r="DR217" s="10"/>
    </row>
    <row r="218" spans="1:122" ht="15.75" customHeight="1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97"/>
      <c r="DH218" s="197"/>
      <c r="DI218" s="197"/>
      <c r="DJ218" s="10"/>
      <c r="DK218" s="10"/>
      <c r="DL218" s="10"/>
      <c r="DM218" s="10"/>
      <c r="DN218" s="10"/>
      <c r="DO218" s="10"/>
      <c r="DP218" s="10"/>
      <c r="DQ218" s="10"/>
      <c r="DR218" s="10"/>
    </row>
    <row r="219" spans="1:122" ht="15.75" customHeight="1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97"/>
      <c r="DH219" s="197"/>
      <c r="DI219" s="197"/>
      <c r="DJ219" s="10"/>
      <c r="DK219" s="10"/>
      <c r="DL219" s="10"/>
      <c r="DM219" s="10"/>
      <c r="DN219" s="10"/>
      <c r="DO219" s="10"/>
      <c r="DP219" s="10"/>
      <c r="DQ219" s="10"/>
      <c r="DR219" s="10"/>
    </row>
    <row r="220" spans="1:122" ht="15.75" customHeight="1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97"/>
      <c r="DH220" s="197"/>
      <c r="DI220" s="197"/>
      <c r="DJ220" s="10"/>
      <c r="DK220" s="10"/>
      <c r="DL220" s="10"/>
      <c r="DM220" s="10"/>
      <c r="DN220" s="10"/>
      <c r="DO220" s="10"/>
      <c r="DP220" s="10"/>
      <c r="DQ220" s="10"/>
      <c r="DR220" s="10"/>
    </row>
    <row r="221" spans="1:122" ht="15.75" customHeight="1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97"/>
      <c r="DH221" s="197"/>
      <c r="DI221" s="197"/>
      <c r="DJ221" s="10"/>
      <c r="DK221" s="10"/>
      <c r="DL221" s="10"/>
      <c r="DM221" s="10"/>
      <c r="DN221" s="10"/>
      <c r="DO221" s="10"/>
      <c r="DP221" s="10"/>
      <c r="DQ221" s="10"/>
      <c r="DR221" s="10"/>
    </row>
    <row r="222" spans="1:122" ht="15.75" customHeight="1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97"/>
      <c r="DH222" s="197"/>
      <c r="DI222" s="197"/>
      <c r="DJ222" s="10"/>
      <c r="DK222" s="10"/>
      <c r="DL222" s="10"/>
      <c r="DM222" s="10"/>
      <c r="DN222" s="10"/>
      <c r="DO222" s="10"/>
      <c r="DP222" s="10"/>
      <c r="DQ222" s="10"/>
      <c r="DR222" s="10"/>
    </row>
    <row r="223" spans="1:122" ht="15.75" customHeight="1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97"/>
      <c r="DH223" s="197"/>
      <c r="DI223" s="197"/>
      <c r="DJ223" s="10"/>
      <c r="DK223" s="10"/>
      <c r="DL223" s="10"/>
      <c r="DM223" s="10"/>
      <c r="DN223" s="10"/>
      <c r="DO223" s="10"/>
      <c r="DP223" s="10"/>
      <c r="DQ223" s="10"/>
      <c r="DR223" s="10"/>
    </row>
    <row r="224" spans="1:122" ht="15.75" customHeight="1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97"/>
      <c r="DH224" s="197"/>
      <c r="DI224" s="197"/>
      <c r="DJ224" s="10"/>
      <c r="DK224" s="10"/>
      <c r="DL224" s="10"/>
      <c r="DM224" s="10"/>
      <c r="DN224" s="10"/>
      <c r="DO224" s="10"/>
      <c r="DP224" s="10"/>
      <c r="DQ224" s="10"/>
      <c r="DR224" s="10"/>
    </row>
    <row r="225" spans="1:122" ht="15.75" customHeight="1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97"/>
      <c r="DH225" s="197"/>
      <c r="DI225" s="197"/>
      <c r="DJ225" s="10"/>
      <c r="DK225" s="10"/>
      <c r="DL225" s="10"/>
      <c r="DM225" s="10"/>
      <c r="DN225" s="10"/>
      <c r="DO225" s="10"/>
      <c r="DP225" s="10"/>
      <c r="DQ225" s="10"/>
      <c r="DR225" s="10"/>
    </row>
    <row r="226" spans="1:122" ht="15.75" customHeight="1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97"/>
      <c r="DH226" s="197"/>
      <c r="DI226" s="197"/>
      <c r="DJ226" s="10"/>
      <c r="DK226" s="10"/>
      <c r="DL226" s="10"/>
      <c r="DM226" s="10"/>
      <c r="DN226" s="10"/>
      <c r="DO226" s="10"/>
      <c r="DP226" s="10"/>
      <c r="DQ226" s="10"/>
      <c r="DR226" s="10"/>
    </row>
    <row r="227" spans="1:122" ht="15.75" customHeight="1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97"/>
      <c r="DH227" s="197"/>
      <c r="DI227" s="197"/>
      <c r="DJ227" s="10"/>
      <c r="DK227" s="10"/>
      <c r="DL227" s="10"/>
      <c r="DM227" s="10"/>
      <c r="DN227" s="10"/>
      <c r="DO227" s="10"/>
      <c r="DP227" s="10"/>
      <c r="DQ227" s="10"/>
      <c r="DR227" s="10"/>
    </row>
    <row r="228" spans="1:122" ht="15.75" customHeight="1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97"/>
      <c r="DH228" s="197"/>
      <c r="DI228" s="197"/>
      <c r="DJ228" s="10"/>
      <c r="DK228" s="10"/>
      <c r="DL228" s="10"/>
      <c r="DM228" s="10"/>
      <c r="DN228" s="10"/>
      <c r="DO228" s="10"/>
      <c r="DP228" s="10"/>
      <c r="DQ228" s="10"/>
      <c r="DR228" s="10"/>
    </row>
    <row r="229" spans="1:122" ht="15.75" customHeight="1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97"/>
      <c r="DH229" s="197"/>
      <c r="DI229" s="197"/>
      <c r="DJ229" s="10"/>
      <c r="DK229" s="10"/>
      <c r="DL229" s="10"/>
      <c r="DM229" s="10"/>
      <c r="DN229" s="10"/>
      <c r="DO229" s="10"/>
      <c r="DP229" s="10"/>
      <c r="DQ229" s="10"/>
      <c r="DR229" s="10"/>
    </row>
    <row r="230" spans="1:122" ht="15.75" customHeight="1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97"/>
      <c r="DH230" s="197"/>
      <c r="DI230" s="197"/>
      <c r="DJ230" s="10"/>
      <c r="DK230" s="10"/>
      <c r="DL230" s="10"/>
      <c r="DM230" s="10"/>
      <c r="DN230" s="10"/>
      <c r="DO230" s="10"/>
      <c r="DP230" s="10"/>
      <c r="DQ230" s="10"/>
      <c r="DR230" s="10"/>
    </row>
    <row r="231" spans="1:122" ht="15.75" customHeight="1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97"/>
      <c r="DH231" s="197"/>
      <c r="DI231" s="197"/>
      <c r="DJ231" s="10"/>
      <c r="DK231" s="10"/>
      <c r="DL231" s="10"/>
      <c r="DM231" s="10"/>
      <c r="DN231" s="10"/>
      <c r="DO231" s="10"/>
      <c r="DP231" s="10"/>
      <c r="DQ231" s="10"/>
      <c r="DR231" s="10"/>
    </row>
    <row r="232" spans="1:122" ht="15.75" customHeight="1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97"/>
      <c r="DH232" s="197"/>
      <c r="DI232" s="197"/>
      <c r="DJ232" s="10"/>
      <c r="DK232" s="10"/>
      <c r="DL232" s="10"/>
      <c r="DM232" s="10"/>
      <c r="DN232" s="10"/>
      <c r="DO232" s="10"/>
      <c r="DP232" s="10"/>
      <c r="DQ232" s="10"/>
      <c r="DR232" s="10"/>
    </row>
    <row r="233" spans="1:122" ht="15.75" customHeight="1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97"/>
      <c r="DH233" s="197"/>
      <c r="DI233" s="197"/>
      <c r="DJ233" s="10"/>
      <c r="DK233" s="10"/>
      <c r="DL233" s="10"/>
      <c r="DM233" s="10"/>
      <c r="DN233" s="10"/>
      <c r="DO233" s="10"/>
      <c r="DP233" s="10"/>
      <c r="DQ233" s="10"/>
      <c r="DR233" s="10"/>
    </row>
    <row r="234" spans="1:122" ht="15.75" customHeight="1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97"/>
      <c r="DH234" s="197"/>
      <c r="DI234" s="197"/>
      <c r="DJ234" s="10"/>
      <c r="DK234" s="10"/>
      <c r="DL234" s="10"/>
      <c r="DM234" s="10"/>
      <c r="DN234" s="10"/>
      <c r="DO234" s="10"/>
      <c r="DP234" s="10"/>
      <c r="DQ234" s="10"/>
      <c r="DR234" s="10"/>
    </row>
    <row r="235" spans="1:122" ht="15.75" customHeight="1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97"/>
      <c r="DH235" s="197"/>
      <c r="DI235" s="197"/>
      <c r="DJ235" s="10"/>
      <c r="DK235" s="10"/>
      <c r="DL235" s="10"/>
      <c r="DM235" s="10"/>
      <c r="DN235" s="10"/>
      <c r="DO235" s="10"/>
      <c r="DP235" s="10"/>
      <c r="DQ235" s="10"/>
      <c r="DR235" s="10"/>
    </row>
    <row r="236" spans="1:122" ht="15.75" customHeight="1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97"/>
      <c r="DH236" s="197"/>
      <c r="DI236" s="197"/>
      <c r="DJ236" s="10"/>
      <c r="DK236" s="10"/>
      <c r="DL236" s="10"/>
      <c r="DM236" s="10"/>
      <c r="DN236" s="10"/>
      <c r="DO236" s="10"/>
      <c r="DP236" s="10"/>
      <c r="DQ236" s="10"/>
      <c r="DR236" s="10"/>
    </row>
    <row r="237" spans="1:122" ht="15.75" customHeight="1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97"/>
      <c r="DH237" s="197"/>
      <c r="DI237" s="197"/>
      <c r="DJ237" s="10"/>
      <c r="DK237" s="10"/>
      <c r="DL237" s="10"/>
      <c r="DM237" s="10"/>
      <c r="DN237" s="10"/>
      <c r="DO237" s="10"/>
      <c r="DP237" s="10"/>
      <c r="DQ237" s="10"/>
      <c r="DR237" s="10"/>
    </row>
    <row r="238" spans="1:122" ht="15.75" customHeight="1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97"/>
      <c r="DH238" s="197"/>
      <c r="DI238" s="197"/>
      <c r="DJ238" s="10"/>
      <c r="DK238" s="10"/>
      <c r="DL238" s="10"/>
      <c r="DM238" s="10"/>
      <c r="DN238" s="10"/>
      <c r="DO238" s="10"/>
      <c r="DP238" s="10"/>
      <c r="DQ238" s="10"/>
      <c r="DR238" s="10"/>
    </row>
    <row r="239" spans="1:122" ht="15.75" customHeight="1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97"/>
      <c r="DH239" s="197"/>
      <c r="DI239" s="197"/>
      <c r="DJ239" s="10"/>
      <c r="DK239" s="10"/>
      <c r="DL239" s="10"/>
      <c r="DM239" s="10"/>
      <c r="DN239" s="10"/>
      <c r="DO239" s="10"/>
      <c r="DP239" s="10"/>
      <c r="DQ239" s="10"/>
      <c r="DR239" s="10"/>
    </row>
    <row r="240" spans="1:122" ht="15.75" customHeight="1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97"/>
      <c r="DH240" s="197"/>
      <c r="DI240" s="197"/>
      <c r="DJ240" s="10"/>
      <c r="DK240" s="10"/>
      <c r="DL240" s="10"/>
      <c r="DM240" s="10"/>
      <c r="DN240" s="10"/>
      <c r="DO240" s="10"/>
      <c r="DP240" s="10"/>
      <c r="DQ240" s="10"/>
      <c r="DR240" s="10"/>
    </row>
    <row r="241" spans="1:122" ht="15.75" customHeight="1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97"/>
      <c r="DH241" s="197"/>
      <c r="DI241" s="197"/>
      <c r="DJ241" s="10"/>
      <c r="DK241" s="10"/>
      <c r="DL241" s="10"/>
      <c r="DM241" s="10"/>
      <c r="DN241" s="10"/>
      <c r="DO241" s="10"/>
      <c r="DP241" s="10"/>
      <c r="DQ241" s="10"/>
      <c r="DR241" s="10"/>
    </row>
    <row r="242" spans="1:122" ht="15.75" customHeight="1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97"/>
      <c r="DH242" s="197"/>
      <c r="DI242" s="197"/>
      <c r="DJ242" s="10"/>
      <c r="DK242" s="10"/>
      <c r="DL242" s="10"/>
      <c r="DM242" s="10"/>
      <c r="DN242" s="10"/>
      <c r="DO242" s="10"/>
      <c r="DP242" s="10"/>
      <c r="DQ242" s="10"/>
      <c r="DR242" s="10"/>
    </row>
    <row r="243" spans="1:122" ht="15.75" customHeight="1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97"/>
      <c r="DH243" s="197"/>
      <c r="DI243" s="197"/>
      <c r="DJ243" s="10"/>
      <c r="DK243" s="10"/>
      <c r="DL243" s="10"/>
      <c r="DM243" s="10"/>
      <c r="DN243" s="10"/>
      <c r="DO243" s="10"/>
      <c r="DP243" s="10"/>
      <c r="DQ243" s="10"/>
      <c r="DR243" s="10"/>
    </row>
    <row r="244" spans="1:122" ht="15.75" customHeight="1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97"/>
      <c r="DH244" s="197"/>
      <c r="DI244" s="197"/>
      <c r="DJ244" s="10"/>
      <c r="DK244" s="10"/>
      <c r="DL244" s="10"/>
      <c r="DM244" s="10"/>
      <c r="DN244" s="10"/>
      <c r="DO244" s="10"/>
      <c r="DP244" s="10"/>
      <c r="DQ244" s="10"/>
      <c r="DR244" s="10"/>
    </row>
    <row r="245" spans="1:122" ht="15.75" customHeight="1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97"/>
      <c r="DH245" s="197"/>
      <c r="DI245" s="197"/>
      <c r="DJ245" s="10"/>
      <c r="DK245" s="10"/>
      <c r="DL245" s="10"/>
      <c r="DM245" s="10"/>
      <c r="DN245" s="10"/>
      <c r="DO245" s="10"/>
      <c r="DP245" s="10"/>
      <c r="DQ245" s="10"/>
      <c r="DR245" s="10"/>
    </row>
    <row r="246" spans="1:122" ht="15.75" customHeight="1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97"/>
      <c r="DH246" s="197"/>
      <c r="DI246" s="197"/>
      <c r="DJ246" s="10"/>
      <c r="DK246" s="10"/>
      <c r="DL246" s="10"/>
      <c r="DM246" s="10"/>
      <c r="DN246" s="10"/>
      <c r="DO246" s="10"/>
      <c r="DP246" s="10"/>
      <c r="DQ246" s="10"/>
      <c r="DR246" s="10"/>
    </row>
    <row r="247" spans="1:122" ht="15.75" customHeight="1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97"/>
      <c r="DH247" s="197"/>
      <c r="DI247" s="197"/>
      <c r="DJ247" s="10"/>
      <c r="DK247" s="10"/>
      <c r="DL247" s="10"/>
      <c r="DM247" s="10"/>
      <c r="DN247" s="10"/>
      <c r="DO247" s="10"/>
      <c r="DP247" s="10"/>
      <c r="DQ247" s="10"/>
      <c r="DR247" s="10"/>
    </row>
    <row r="248" spans="1:122" ht="15.75" customHeight="1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97"/>
      <c r="DH248" s="197"/>
      <c r="DI248" s="197"/>
      <c r="DJ248" s="10"/>
      <c r="DK248" s="10"/>
      <c r="DL248" s="10"/>
      <c r="DM248" s="10"/>
      <c r="DN248" s="10"/>
      <c r="DO248" s="10"/>
      <c r="DP248" s="10"/>
      <c r="DQ248" s="10"/>
      <c r="DR248" s="10"/>
    </row>
    <row r="249" spans="1:122" ht="15.75" customHeight="1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97"/>
      <c r="DH249" s="197"/>
      <c r="DI249" s="197"/>
      <c r="DJ249" s="10"/>
      <c r="DK249" s="10"/>
      <c r="DL249" s="10"/>
      <c r="DM249" s="10"/>
      <c r="DN249" s="10"/>
      <c r="DO249" s="10"/>
      <c r="DP249" s="10"/>
      <c r="DQ249" s="10"/>
      <c r="DR249" s="10"/>
    </row>
    <row r="250" spans="1:122" ht="15.75" customHeight="1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97"/>
      <c r="DH250" s="197"/>
      <c r="DI250" s="197"/>
      <c r="DJ250" s="10"/>
      <c r="DK250" s="10"/>
      <c r="DL250" s="10"/>
      <c r="DM250" s="10"/>
      <c r="DN250" s="10"/>
      <c r="DO250" s="10"/>
      <c r="DP250" s="10"/>
      <c r="DQ250" s="10"/>
      <c r="DR250" s="10"/>
    </row>
    <row r="251" spans="1:122" ht="15.75" customHeight="1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97"/>
      <c r="DH251" s="197"/>
      <c r="DI251" s="197"/>
      <c r="DJ251" s="10"/>
      <c r="DK251" s="10"/>
      <c r="DL251" s="10"/>
      <c r="DM251" s="10"/>
      <c r="DN251" s="10"/>
      <c r="DO251" s="10"/>
      <c r="DP251" s="10"/>
      <c r="DQ251" s="10"/>
      <c r="DR251" s="10"/>
    </row>
    <row r="252" spans="1:122" ht="15.75" customHeight="1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97"/>
      <c r="DH252" s="197"/>
      <c r="DI252" s="197"/>
      <c r="DJ252" s="10"/>
      <c r="DK252" s="10"/>
      <c r="DL252" s="10"/>
      <c r="DM252" s="10"/>
      <c r="DN252" s="10"/>
      <c r="DO252" s="10"/>
      <c r="DP252" s="10"/>
      <c r="DQ252" s="10"/>
      <c r="DR252" s="10"/>
    </row>
    <row r="253" spans="1:122" ht="15.75" customHeight="1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97"/>
      <c r="DH253" s="197"/>
      <c r="DI253" s="197"/>
      <c r="DJ253" s="10"/>
      <c r="DK253" s="10"/>
      <c r="DL253" s="10"/>
      <c r="DM253" s="10"/>
      <c r="DN253" s="10"/>
      <c r="DO253" s="10"/>
      <c r="DP253" s="10"/>
      <c r="DQ253" s="10"/>
      <c r="DR253" s="10"/>
    </row>
    <row r="254" spans="1:122" ht="15.75" customHeight="1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97"/>
      <c r="DH254" s="197"/>
      <c r="DI254" s="197"/>
      <c r="DJ254" s="10"/>
      <c r="DK254" s="10"/>
      <c r="DL254" s="10"/>
      <c r="DM254" s="10"/>
      <c r="DN254" s="10"/>
      <c r="DO254" s="10"/>
      <c r="DP254" s="10"/>
      <c r="DQ254" s="10"/>
      <c r="DR254" s="10"/>
    </row>
    <row r="255" spans="1:122" ht="15.75" customHeight="1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97"/>
      <c r="DH255" s="197"/>
      <c r="DI255" s="197"/>
      <c r="DJ255" s="10"/>
      <c r="DK255" s="10"/>
      <c r="DL255" s="10"/>
      <c r="DM255" s="10"/>
      <c r="DN255" s="10"/>
      <c r="DO255" s="10"/>
      <c r="DP255" s="10"/>
      <c r="DQ255" s="10"/>
      <c r="DR255" s="10"/>
    </row>
    <row r="256" spans="1:122" ht="15.75" customHeight="1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97"/>
      <c r="DH256" s="197"/>
      <c r="DI256" s="197"/>
      <c r="DJ256" s="10"/>
      <c r="DK256" s="10"/>
      <c r="DL256" s="10"/>
      <c r="DM256" s="10"/>
      <c r="DN256" s="10"/>
      <c r="DO256" s="10"/>
      <c r="DP256" s="10"/>
      <c r="DQ256" s="10"/>
      <c r="DR256" s="10"/>
    </row>
    <row r="257" spans="1:122" ht="15.75" customHeight="1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97"/>
      <c r="DH257" s="197"/>
      <c r="DI257" s="197"/>
      <c r="DJ257" s="10"/>
      <c r="DK257" s="10"/>
      <c r="DL257" s="10"/>
      <c r="DM257" s="10"/>
      <c r="DN257" s="10"/>
      <c r="DO257" s="10"/>
      <c r="DP257" s="10"/>
      <c r="DQ257" s="10"/>
      <c r="DR257" s="10"/>
    </row>
    <row r="258" spans="1:122" ht="15.75" customHeight="1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97"/>
      <c r="DH258" s="197"/>
      <c r="DI258" s="197"/>
      <c r="DJ258" s="10"/>
      <c r="DK258" s="10"/>
      <c r="DL258" s="10"/>
      <c r="DM258" s="10"/>
      <c r="DN258" s="10"/>
      <c r="DO258" s="10"/>
      <c r="DP258" s="10"/>
      <c r="DQ258" s="10"/>
      <c r="DR258" s="10"/>
    </row>
    <row r="259" spans="1:122" ht="15.75" customHeight="1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97"/>
      <c r="DH259" s="197"/>
      <c r="DI259" s="197"/>
      <c r="DJ259" s="10"/>
      <c r="DK259" s="10"/>
      <c r="DL259" s="10"/>
      <c r="DM259" s="10"/>
      <c r="DN259" s="10"/>
      <c r="DO259" s="10"/>
      <c r="DP259" s="10"/>
      <c r="DQ259" s="10"/>
      <c r="DR259" s="10"/>
    </row>
    <row r="260" spans="1:122" ht="15.75" customHeight="1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97"/>
      <c r="DH260" s="197"/>
      <c r="DI260" s="197"/>
      <c r="DJ260" s="10"/>
      <c r="DK260" s="10"/>
      <c r="DL260" s="10"/>
      <c r="DM260" s="10"/>
      <c r="DN260" s="10"/>
      <c r="DO260" s="10"/>
      <c r="DP260" s="10"/>
      <c r="DQ260" s="10"/>
      <c r="DR260" s="10"/>
    </row>
    <row r="261" spans="1:122" ht="15.75" customHeight="1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97"/>
      <c r="DH261" s="197"/>
      <c r="DI261" s="197"/>
      <c r="DJ261" s="10"/>
      <c r="DK261" s="10"/>
      <c r="DL261" s="10"/>
      <c r="DM261" s="10"/>
      <c r="DN261" s="10"/>
      <c r="DO261" s="10"/>
      <c r="DP261" s="10"/>
      <c r="DQ261" s="10"/>
      <c r="DR261" s="10"/>
    </row>
    <row r="262" spans="1:122" ht="15.75" customHeight="1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97"/>
      <c r="DH262" s="197"/>
      <c r="DI262" s="197"/>
      <c r="DJ262" s="10"/>
      <c r="DK262" s="10"/>
      <c r="DL262" s="10"/>
      <c r="DM262" s="10"/>
      <c r="DN262" s="10"/>
      <c r="DO262" s="10"/>
      <c r="DP262" s="10"/>
      <c r="DQ262" s="10"/>
      <c r="DR262" s="10"/>
    </row>
    <row r="263" spans="1:122" ht="15.75" customHeight="1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97"/>
      <c r="DH263" s="197"/>
      <c r="DI263" s="197"/>
      <c r="DJ263" s="10"/>
      <c r="DK263" s="10"/>
      <c r="DL263" s="10"/>
      <c r="DM263" s="10"/>
      <c r="DN263" s="10"/>
      <c r="DO263" s="10"/>
      <c r="DP263" s="10"/>
      <c r="DQ263" s="10"/>
      <c r="DR263" s="10"/>
    </row>
    <row r="264" spans="1:122" ht="15.75" customHeight="1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97"/>
      <c r="DH264" s="197"/>
      <c r="DI264" s="197"/>
      <c r="DJ264" s="10"/>
      <c r="DK264" s="10"/>
      <c r="DL264" s="10"/>
      <c r="DM264" s="10"/>
      <c r="DN264" s="10"/>
      <c r="DO264" s="10"/>
      <c r="DP264" s="10"/>
      <c r="DQ264" s="10"/>
      <c r="DR264" s="10"/>
    </row>
    <row r="265" spans="1:122" ht="15.75" customHeight="1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97"/>
      <c r="DH265" s="197"/>
      <c r="DI265" s="197"/>
      <c r="DJ265" s="10"/>
      <c r="DK265" s="10"/>
      <c r="DL265" s="10"/>
      <c r="DM265" s="10"/>
      <c r="DN265" s="10"/>
      <c r="DO265" s="10"/>
      <c r="DP265" s="10"/>
      <c r="DQ265" s="10"/>
      <c r="DR265" s="10"/>
    </row>
    <row r="266" spans="1:122" ht="15.75" customHeight="1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97"/>
      <c r="DH266" s="197"/>
      <c r="DI266" s="197"/>
      <c r="DJ266" s="10"/>
      <c r="DK266" s="10"/>
      <c r="DL266" s="10"/>
      <c r="DM266" s="10"/>
      <c r="DN266" s="10"/>
      <c r="DO266" s="10"/>
      <c r="DP266" s="10"/>
      <c r="DQ266" s="10"/>
      <c r="DR266" s="10"/>
    </row>
    <row r="267" spans="1:122" ht="15.75" customHeight="1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97"/>
      <c r="DH267" s="197"/>
      <c r="DI267" s="197"/>
      <c r="DJ267" s="10"/>
      <c r="DK267" s="10"/>
      <c r="DL267" s="10"/>
      <c r="DM267" s="10"/>
      <c r="DN267" s="10"/>
      <c r="DO267" s="10"/>
      <c r="DP267" s="10"/>
      <c r="DQ267" s="10"/>
      <c r="DR267" s="10"/>
    </row>
    <row r="268" spans="1:122" ht="15.75" customHeight="1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97"/>
      <c r="DH268" s="197"/>
      <c r="DI268" s="197"/>
      <c r="DJ268" s="10"/>
      <c r="DK268" s="10"/>
      <c r="DL268" s="10"/>
      <c r="DM268" s="10"/>
      <c r="DN268" s="10"/>
      <c r="DO268" s="10"/>
      <c r="DP268" s="10"/>
      <c r="DQ268" s="10"/>
      <c r="DR268" s="10"/>
    </row>
    <row r="269" spans="1:122" ht="15.75" customHeight="1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97"/>
      <c r="DH269" s="197"/>
      <c r="DI269" s="197"/>
      <c r="DJ269" s="10"/>
      <c r="DK269" s="10"/>
      <c r="DL269" s="10"/>
      <c r="DM269" s="10"/>
      <c r="DN269" s="10"/>
      <c r="DO269" s="10"/>
      <c r="DP269" s="10"/>
      <c r="DQ269" s="10"/>
      <c r="DR269" s="10"/>
    </row>
    <row r="270" spans="1:122" ht="15.75" customHeight="1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97"/>
      <c r="DH270" s="197"/>
      <c r="DI270" s="197"/>
      <c r="DJ270" s="10"/>
      <c r="DK270" s="10"/>
      <c r="DL270" s="10"/>
      <c r="DM270" s="10"/>
      <c r="DN270" s="10"/>
      <c r="DO270" s="10"/>
      <c r="DP270" s="10"/>
      <c r="DQ270" s="10"/>
      <c r="DR270" s="10"/>
    </row>
    <row r="271" spans="1:122" ht="15.75" customHeight="1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97"/>
      <c r="DH271" s="197"/>
      <c r="DI271" s="197"/>
      <c r="DJ271" s="10"/>
      <c r="DK271" s="10"/>
      <c r="DL271" s="10"/>
      <c r="DM271" s="10"/>
      <c r="DN271" s="10"/>
      <c r="DO271" s="10"/>
      <c r="DP271" s="10"/>
      <c r="DQ271" s="10"/>
      <c r="DR271" s="10"/>
    </row>
    <row r="272" spans="1:122" ht="15.75" customHeight="1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97"/>
      <c r="DH272" s="197"/>
      <c r="DI272" s="197"/>
      <c r="DJ272" s="10"/>
      <c r="DK272" s="10"/>
      <c r="DL272" s="10"/>
      <c r="DM272" s="10"/>
      <c r="DN272" s="10"/>
      <c r="DO272" s="10"/>
      <c r="DP272" s="10"/>
      <c r="DQ272" s="10"/>
      <c r="DR272" s="10"/>
    </row>
    <row r="273" spans="1:122" ht="15.75" customHeight="1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97"/>
      <c r="DH273" s="197"/>
      <c r="DI273" s="197"/>
      <c r="DJ273" s="10"/>
      <c r="DK273" s="10"/>
      <c r="DL273" s="10"/>
      <c r="DM273" s="10"/>
      <c r="DN273" s="10"/>
      <c r="DO273" s="10"/>
      <c r="DP273" s="10"/>
      <c r="DQ273" s="10"/>
      <c r="DR273" s="10"/>
    </row>
    <row r="274" spans="1:122" ht="15.75" customHeight="1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97"/>
      <c r="DH274" s="197"/>
      <c r="DI274" s="197"/>
      <c r="DJ274" s="10"/>
      <c r="DK274" s="10"/>
      <c r="DL274" s="10"/>
      <c r="DM274" s="10"/>
      <c r="DN274" s="10"/>
      <c r="DO274" s="10"/>
      <c r="DP274" s="10"/>
      <c r="DQ274" s="10"/>
      <c r="DR274" s="10"/>
    </row>
    <row r="275" spans="1:122" ht="15.75" customHeight="1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97"/>
      <c r="DH275" s="197"/>
      <c r="DI275" s="197"/>
      <c r="DJ275" s="10"/>
      <c r="DK275" s="10"/>
      <c r="DL275" s="10"/>
      <c r="DM275" s="10"/>
      <c r="DN275" s="10"/>
      <c r="DO275" s="10"/>
      <c r="DP275" s="10"/>
      <c r="DQ275" s="10"/>
      <c r="DR275" s="10"/>
    </row>
    <row r="276" spans="1:122" ht="15.75" customHeight="1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97"/>
      <c r="DH276" s="197"/>
      <c r="DI276" s="197"/>
      <c r="DJ276" s="10"/>
      <c r="DK276" s="10"/>
      <c r="DL276" s="10"/>
      <c r="DM276" s="10"/>
      <c r="DN276" s="10"/>
      <c r="DO276" s="10"/>
      <c r="DP276" s="10"/>
      <c r="DQ276" s="10"/>
      <c r="DR276" s="10"/>
    </row>
    <row r="277" spans="1:122" ht="15.75" customHeight="1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97"/>
      <c r="DH277" s="197"/>
      <c r="DI277" s="197"/>
      <c r="DJ277" s="10"/>
      <c r="DK277" s="10"/>
      <c r="DL277" s="10"/>
      <c r="DM277" s="10"/>
      <c r="DN277" s="10"/>
      <c r="DO277" s="10"/>
      <c r="DP277" s="10"/>
      <c r="DQ277" s="10"/>
      <c r="DR277" s="10"/>
    </row>
    <row r="278" spans="1:122" ht="15.75" customHeight="1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97"/>
      <c r="DH278" s="197"/>
      <c r="DI278" s="197"/>
      <c r="DJ278" s="10"/>
      <c r="DK278" s="10"/>
      <c r="DL278" s="10"/>
      <c r="DM278" s="10"/>
      <c r="DN278" s="10"/>
      <c r="DO278" s="10"/>
      <c r="DP278" s="10"/>
      <c r="DQ278" s="10"/>
      <c r="DR278" s="10"/>
    </row>
    <row r="279" spans="1:122" ht="15.75" customHeight="1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97"/>
      <c r="DH279" s="197"/>
      <c r="DI279" s="197"/>
      <c r="DJ279" s="10"/>
      <c r="DK279" s="10"/>
      <c r="DL279" s="10"/>
      <c r="DM279" s="10"/>
      <c r="DN279" s="10"/>
      <c r="DO279" s="10"/>
      <c r="DP279" s="10"/>
      <c r="DQ279" s="10"/>
      <c r="DR279" s="10"/>
    </row>
    <row r="280" spans="1:122" ht="15.75" customHeight="1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97"/>
      <c r="DH280" s="197"/>
      <c r="DI280" s="197"/>
      <c r="DJ280" s="10"/>
      <c r="DK280" s="10"/>
      <c r="DL280" s="10"/>
      <c r="DM280" s="10"/>
      <c r="DN280" s="10"/>
      <c r="DO280" s="10"/>
      <c r="DP280" s="10"/>
      <c r="DQ280" s="10"/>
      <c r="DR280" s="10"/>
    </row>
    <row r="281" spans="1:122" ht="15.75" customHeight="1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97"/>
      <c r="DH281" s="197"/>
      <c r="DI281" s="197"/>
      <c r="DJ281" s="10"/>
      <c r="DK281" s="10"/>
      <c r="DL281" s="10"/>
      <c r="DM281" s="10"/>
      <c r="DN281" s="10"/>
      <c r="DO281" s="10"/>
      <c r="DP281" s="10"/>
      <c r="DQ281" s="10"/>
      <c r="DR281" s="10"/>
    </row>
    <row r="282" spans="1:122" ht="15.75" customHeight="1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97"/>
      <c r="DH282" s="197"/>
      <c r="DI282" s="197"/>
      <c r="DJ282" s="10"/>
      <c r="DK282" s="10"/>
      <c r="DL282" s="10"/>
      <c r="DM282" s="10"/>
      <c r="DN282" s="10"/>
      <c r="DO282" s="10"/>
      <c r="DP282" s="10"/>
      <c r="DQ282" s="10"/>
      <c r="DR282" s="10"/>
    </row>
    <row r="283" spans="1:122" ht="15.75" customHeight="1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97"/>
      <c r="DH283" s="197"/>
      <c r="DI283" s="197"/>
      <c r="DJ283" s="10"/>
      <c r="DK283" s="10"/>
      <c r="DL283" s="10"/>
      <c r="DM283" s="10"/>
      <c r="DN283" s="10"/>
      <c r="DO283" s="10"/>
      <c r="DP283" s="10"/>
      <c r="DQ283" s="10"/>
      <c r="DR283" s="10"/>
    </row>
    <row r="284" spans="1:122" ht="15.75" customHeight="1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97"/>
      <c r="DH284" s="197"/>
      <c r="DI284" s="197"/>
      <c r="DJ284" s="10"/>
      <c r="DK284" s="10"/>
      <c r="DL284" s="10"/>
      <c r="DM284" s="10"/>
      <c r="DN284" s="10"/>
      <c r="DO284" s="10"/>
      <c r="DP284" s="10"/>
      <c r="DQ284" s="10"/>
      <c r="DR284" s="10"/>
    </row>
    <row r="285" spans="1:122" ht="15.75" customHeight="1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97"/>
      <c r="DH285" s="197"/>
      <c r="DI285" s="197"/>
      <c r="DJ285" s="10"/>
      <c r="DK285" s="10"/>
      <c r="DL285" s="10"/>
      <c r="DM285" s="10"/>
      <c r="DN285" s="10"/>
      <c r="DO285" s="10"/>
      <c r="DP285" s="10"/>
      <c r="DQ285" s="10"/>
      <c r="DR285" s="10"/>
    </row>
    <row r="286" spans="1:122" ht="15.75" customHeight="1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97"/>
      <c r="DH286" s="197"/>
      <c r="DI286" s="197"/>
      <c r="DJ286" s="10"/>
      <c r="DK286" s="10"/>
      <c r="DL286" s="10"/>
      <c r="DM286" s="10"/>
      <c r="DN286" s="10"/>
      <c r="DO286" s="10"/>
      <c r="DP286" s="10"/>
      <c r="DQ286" s="10"/>
      <c r="DR286" s="10"/>
    </row>
    <row r="287" spans="1:122" ht="15.75" customHeight="1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97"/>
      <c r="DH287" s="197"/>
      <c r="DI287" s="197"/>
      <c r="DJ287" s="10"/>
      <c r="DK287" s="10"/>
      <c r="DL287" s="10"/>
      <c r="DM287" s="10"/>
      <c r="DN287" s="10"/>
      <c r="DO287" s="10"/>
      <c r="DP287" s="10"/>
      <c r="DQ287" s="10"/>
      <c r="DR287" s="10"/>
    </row>
    <row r="288" spans="1:122" ht="15.75" customHeight="1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97"/>
      <c r="DH288" s="197"/>
      <c r="DI288" s="197"/>
      <c r="DJ288" s="10"/>
      <c r="DK288" s="10"/>
      <c r="DL288" s="10"/>
      <c r="DM288" s="10"/>
      <c r="DN288" s="10"/>
      <c r="DO288" s="10"/>
      <c r="DP288" s="10"/>
      <c r="DQ288" s="10"/>
      <c r="DR288" s="10"/>
    </row>
    <row r="289" spans="1:122" ht="15.75" customHeight="1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97"/>
      <c r="DH289" s="197"/>
      <c r="DI289" s="197"/>
      <c r="DJ289" s="10"/>
      <c r="DK289" s="10"/>
      <c r="DL289" s="10"/>
      <c r="DM289" s="10"/>
      <c r="DN289" s="10"/>
      <c r="DO289" s="10"/>
      <c r="DP289" s="10"/>
      <c r="DQ289" s="10"/>
      <c r="DR289" s="10"/>
    </row>
    <row r="290" spans="1:122" ht="15.75" customHeight="1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97"/>
      <c r="DH290" s="197"/>
      <c r="DI290" s="197"/>
      <c r="DJ290" s="10"/>
      <c r="DK290" s="10"/>
      <c r="DL290" s="10"/>
      <c r="DM290" s="10"/>
      <c r="DN290" s="10"/>
      <c r="DO290" s="10"/>
      <c r="DP290" s="10"/>
      <c r="DQ290" s="10"/>
      <c r="DR290" s="10"/>
    </row>
    <row r="291" spans="1:122" ht="15.75" customHeight="1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97"/>
      <c r="DH291" s="197"/>
      <c r="DI291" s="197"/>
      <c r="DJ291" s="10"/>
      <c r="DK291" s="10"/>
      <c r="DL291" s="10"/>
      <c r="DM291" s="10"/>
      <c r="DN291" s="10"/>
      <c r="DO291" s="10"/>
      <c r="DP291" s="10"/>
      <c r="DQ291" s="10"/>
      <c r="DR291" s="10"/>
    </row>
    <row r="292" spans="1:122" ht="15.75" customHeight="1">
      <c r="A292" s="300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97"/>
      <c r="DH292" s="197"/>
      <c r="DI292" s="197"/>
      <c r="DJ292" s="10"/>
      <c r="DK292" s="10"/>
      <c r="DL292" s="10"/>
      <c r="DM292" s="10"/>
      <c r="DN292" s="10"/>
      <c r="DO292" s="10"/>
      <c r="DP292" s="10"/>
      <c r="DQ292" s="10"/>
      <c r="DR292" s="10"/>
    </row>
    <row r="293" spans="1:122" ht="15.75" customHeight="1">
      <c r="A293" s="300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97"/>
      <c r="DH293" s="197"/>
      <c r="DI293" s="197"/>
      <c r="DJ293" s="10"/>
      <c r="DK293" s="10"/>
      <c r="DL293" s="10"/>
      <c r="DM293" s="10"/>
      <c r="DN293" s="10"/>
      <c r="DO293" s="10"/>
      <c r="DP293" s="10"/>
      <c r="DQ293" s="10"/>
      <c r="DR293" s="10"/>
    </row>
    <row r="294" spans="1:122" ht="15.75" customHeight="1">
      <c r="A294" s="300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97"/>
      <c r="DH294" s="197"/>
      <c r="DI294" s="197"/>
      <c r="DJ294" s="10"/>
      <c r="DK294" s="10"/>
      <c r="DL294" s="10"/>
      <c r="DM294" s="10"/>
      <c r="DN294" s="10"/>
      <c r="DO294" s="10"/>
      <c r="DP294" s="10"/>
      <c r="DQ294" s="10"/>
      <c r="DR294" s="10"/>
    </row>
    <row r="295" spans="1:122" ht="15.75" customHeight="1">
      <c r="A295" s="300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97"/>
      <c r="DH295" s="197"/>
      <c r="DI295" s="197"/>
      <c r="DJ295" s="10"/>
      <c r="DK295" s="10"/>
      <c r="DL295" s="10"/>
      <c r="DM295" s="10"/>
      <c r="DN295" s="10"/>
      <c r="DO295" s="10"/>
      <c r="DP295" s="10"/>
      <c r="DQ295" s="10"/>
      <c r="DR295" s="10"/>
    </row>
    <row r="296" spans="1:122" ht="15.75" customHeight="1">
      <c r="A296" s="300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97"/>
      <c r="DH296" s="197"/>
      <c r="DI296" s="197"/>
      <c r="DJ296" s="10"/>
      <c r="DK296" s="10"/>
      <c r="DL296" s="10"/>
      <c r="DM296" s="10"/>
      <c r="DN296" s="10"/>
      <c r="DO296" s="10"/>
      <c r="DP296" s="10"/>
      <c r="DQ296" s="10"/>
      <c r="DR296" s="10"/>
    </row>
    <row r="297" spans="1:122" ht="15.75" customHeight="1">
      <c r="A297" s="300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97"/>
      <c r="DH297" s="197"/>
      <c r="DI297" s="197"/>
      <c r="DJ297" s="10"/>
      <c r="DK297" s="10"/>
      <c r="DL297" s="10"/>
      <c r="DM297" s="10"/>
      <c r="DN297" s="10"/>
      <c r="DO297" s="10"/>
      <c r="DP297" s="10"/>
      <c r="DQ297" s="10"/>
      <c r="DR297" s="10"/>
    </row>
    <row r="298" spans="1:122" ht="15.75" customHeight="1">
      <c r="A298" s="300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97"/>
      <c r="DH298" s="197"/>
      <c r="DI298" s="197"/>
      <c r="DJ298" s="10"/>
      <c r="DK298" s="10"/>
      <c r="DL298" s="10"/>
      <c r="DM298" s="10"/>
      <c r="DN298" s="10"/>
      <c r="DO298" s="10"/>
      <c r="DP298" s="10"/>
      <c r="DQ298" s="10"/>
      <c r="DR298" s="10"/>
    </row>
    <row r="299" spans="1:122" ht="15.75" customHeight="1">
      <c r="A299" s="300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97"/>
      <c r="DH299" s="197"/>
      <c r="DI299" s="197"/>
      <c r="DJ299" s="10"/>
      <c r="DK299" s="10"/>
      <c r="DL299" s="10"/>
      <c r="DM299" s="10"/>
      <c r="DN299" s="10"/>
      <c r="DO299" s="10"/>
      <c r="DP299" s="10"/>
      <c r="DQ299" s="10"/>
      <c r="DR299" s="10"/>
    </row>
    <row r="300" spans="1:122" ht="15.75" customHeight="1">
      <c r="A300" s="300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97"/>
      <c r="DH300" s="197"/>
      <c r="DI300" s="197"/>
      <c r="DJ300" s="10"/>
      <c r="DK300" s="10"/>
      <c r="DL300" s="10"/>
      <c r="DM300" s="10"/>
      <c r="DN300" s="10"/>
      <c r="DO300" s="10"/>
      <c r="DP300" s="10"/>
      <c r="DQ300" s="10"/>
      <c r="DR300" s="10"/>
    </row>
    <row r="301" spans="1:122" ht="15.75" customHeight="1">
      <c r="A301" s="300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97"/>
      <c r="DH301" s="197"/>
      <c r="DI301" s="197"/>
      <c r="DJ301" s="10"/>
      <c r="DK301" s="10"/>
      <c r="DL301" s="10"/>
      <c r="DM301" s="10"/>
      <c r="DN301" s="10"/>
      <c r="DO301" s="10"/>
      <c r="DP301" s="10"/>
      <c r="DQ301" s="10"/>
      <c r="DR301" s="10"/>
    </row>
    <row r="302" spans="1:122" ht="15.75" customHeight="1">
      <c r="A302" s="300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97"/>
      <c r="DH302" s="197"/>
      <c r="DI302" s="197"/>
      <c r="DJ302" s="10"/>
      <c r="DK302" s="10"/>
      <c r="DL302" s="10"/>
      <c r="DM302" s="10"/>
      <c r="DN302" s="10"/>
      <c r="DO302" s="10"/>
      <c r="DP302" s="10"/>
      <c r="DQ302" s="10"/>
      <c r="DR302" s="10"/>
    </row>
    <row r="303" spans="1:122" ht="15.75" customHeight="1">
      <c r="A303" s="300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97"/>
      <c r="DH303" s="197"/>
      <c r="DI303" s="197"/>
      <c r="DJ303" s="10"/>
      <c r="DK303" s="10"/>
      <c r="DL303" s="10"/>
      <c r="DM303" s="10"/>
      <c r="DN303" s="10"/>
      <c r="DO303" s="10"/>
      <c r="DP303" s="10"/>
      <c r="DQ303" s="10"/>
      <c r="DR303" s="10"/>
    </row>
    <row r="304" spans="1:122" ht="15.75" customHeight="1">
      <c r="A304" s="300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97"/>
      <c r="DH304" s="197"/>
      <c r="DI304" s="197"/>
      <c r="DJ304" s="10"/>
      <c r="DK304" s="10"/>
      <c r="DL304" s="10"/>
      <c r="DM304" s="10"/>
      <c r="DN304" s="10"/>
      <c r="DO304" s="10"/>
      <c r="DP304" s="10"/>
      <c r="DQ304" s="10"/>
      <c r="DR304" s="10"/>
    </row>
    <row r="305" spans="1:122" ht="15.75" customHeight="1">
      <c r="A305" s="300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97"/>
      <c r="DH305" s="197"/>
      <c r="DI305" s="197"/>
      <c r="DJ305" s="10"/>
      <c r="DK305" s="10"/>
      <c r="DL305" s="10"/>
      <c r="DM305" s="10"/>
      <c r="DN305" s="10"/>
      <c r="DO305" s="10"/>
      <c r="DP305" s="10"/>
      <c r="DQ305" s="10"/>
      <c r="DR305" s="10"/>
    </row>
    <row r="306" spans="1:122" ht="15.75" customHeight="1">
      <c r="A306" s="300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97"/>
      <c r="DH306" s="197"/>
      <c r="DI306" s="197"/>
      <c r="DJ306" s="10"/>
      <c r="DK306" s="10"/>
      <c r="DL306" s="10"/>
      <c r="DM306" s="10"/>
      <c r="DN306" s="10"/>
      <c r="DO306" s="10"/>
      <c r="DP306" s="10"/>
      <c r="DQ306" s="10"/>
      <c r="DR306" s="10"/>
    </row>
    <row r="307" spans="1:122" ht="15.75" customHeight="1">
      <c r="A307" s="300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97"/>
      <c r="DH307" s="197"/>
      <c r="DI307" s="197"/>
      <c r="DJ307" s="10"/>
      <c r="DK307" s="10"/>
      <c r="DL307" s="10"/>
      <c r="DM307" s="10"/>
      <c r="DN307" s="10"/>
      <c r="DO307" s="10"/>
      <c r="DP307" s="10"/>
      <c r="DQ307" s="10"/>
      <c r="DR307" s="10"/>
    </row>
    <row r="308" spans="1:122" ht="15.75" customHeight="1">
      <c r="A308" s="300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97"/>
      <c r="DH308" s="197"/>
      <c r="DI308" s="197"/>
      <c r="DJ308" s="10"/>
      <c r="DK308" s="10"/>
      <c r="DL308" s="10"/>
      <c r="DM308" s="10"/>
      <c r="DN308" s="10"/>
      <c r="DO308" s="10"/>
      <c r="DP308" s="10"/>
      <c r="DQ308" s="10"/>
      <c r="DR308" s="10"/>
    </row>
    <row r="309" spans="1:122" ht="15.75" customHeight="1">
      <c r="A309" s="300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97"/>
      <c r="DH309" s="197"/>
      <c r="DI309" s="197"/>
      <c r="DJ309" s="10"/>
      <c r="DK309" s="10"/>
      <c r="DL309" s="10"/>
      <c r="DM309" s="10"/>
      <c r="DN309" s="10"/>
      <c r="DO309" s="10"/>
      <c r="DP309" s="10"/>
      <c r="DQ309" s="10"/>
      <c r="DR309" s="10"/>
    </row>
    <row r="310" spans="1:122" ht="15.75" customHeight="1">
      <c r="A310" s="300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97"/>
      <c r="DH310" s="197"/>
      <c r="DI310" s="197"/>
      <c r="DJ310" s="10"/>
      <c r="DK310" s="10"/>
      <c r="DL310" s="10"/>
      <c r="DM310" s="10"/>
      <c r="DN310" s="10"/>
      <c r="DO310" s="10"/>
      <c r="DP310" s="10"/>
      <c r="DQ310" s="10"/>
      <c r="DR310" s="10"/>
    </row>
    <row r="311" spans="1:122" ht="15.75" customHeight="1">
      <c r="A311" s="300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97"/>
      <c r="DH311" s="197"/>
      <c r="DI311" s="197"/>
      <c r="DJ311" s="10"/>
      <c r="DK311" s="10"/>
      <c r="DL311" s="10"/>
      <c r="DM311" s="10"/>
      <c r="DN311" s="10"/>
      <c r="DO311" s="10"/>
      <c r="DP311" s="10"/>
      <c r="DQ311" s="10"/>
      <c r="DR311" s="10"/>
    </row>
    <row r="312" spans="1:122" ht="15.75" customHeight="1">
      <c r="A312" s="300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97"/>
      <c r="DH312" s="197"/>
      <c r="DI312" s="197"/>
      <c r="DJ312" s="10"/>
      <c r="DK312" s="10"/>
      <c r="DL312" s="10"/>
      <c r="DM312" s="10"/>
      <c r="DN312" s="10"/>
      <c r="DO312" s="10"/>
      <c r="DP312" s="10"/>
      <c r="DQ312" s="10"/>
      <c r="DR312" s="10"/>
    </row>
    <row r="313" spans="1:122" ht="15.75" customHeight="1">
      <c r="A313" s="300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97"/>
      <c r="DH313" s="197"/>
      <c r="DI313" s="197"/>
      <c r="DJ313" s="10"/>
      <c r="DK313" s="10"/>
      <c r="DL313" s="10"/>
      <c r="DM313" s="10"/>
      <c r="DN313" s="10"/>
      <c r="DO313" s="10"/>
      <c r="DP313" s="10"/>
      <c r="DQ313" s="10"/>
      <c r="DR313" s="10"/>
    </row>
    <row r="314" spans="1:122" ht="15.75" customHeight="1">
      <c r="A314" s="300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97"/>
      <c r="DH314" s="197"/>
      <c r="DI314" s="197"/>
      <c r="DJ314" s="10"/>
      <c r="DK314" s="10"/>
      <c r="DL314" s="10"/>
      <c r="DM314" s="10"/>
      <c r="DN314" s="10"/>
      <c r="DO314" s="10"/>
      <c r="DP314" s="10"/>
      <c r="DQ314" s="10"/>
      <c r="DR314" s="10"/>
    </row>
    <row r="315" spans="1:122" ht="15.75" customHeight="1">
      <c r="A315" s="300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97"/>
      <c r="DH315" s="197"/>
      <c r="DI315" s="197"/>
      <c r="DJ315" s="10"/>
      <c r="DK315" s="10"/>
      <c r="DL315" s="10"/>
      <c r="DM315" s="10"/>
      <c r="DN315" s="10"/>
      <c r="DO315" s="10"/>
      <c r="DP315" s="10"/>
      <c r="DQ315" s="10"/>
      <c r="DR315" s="10"/>
    </row>
    <row r="316" spans="1:122" ht="15.75" customHeight="1">
      <c r="A316" s="300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97"/>
      <c r="DH316" s="197"/>
      <c r="DI316" s="197"/>
      <c r="DJ316" s="10"/>
      <c r="DK316" s="10"/>
      <c r="DL316" s="10"/>
      <c r="DM316" s="10"/>
      <c r="DN316" s="10"/>
      <c r="DO316" s="10"/>
      <c r="DP316" s="10"/>
      <c r="DQ316" s="10"/>
      <c r="DR316" s="10"/>
    </row>
    <row r="317" spans="1:122" ht="15.75" customHeight="1">
      <c r="A317" s="300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97"/>
      <c r="DH317" s="197"/>
      <c r="DI317" s="197"/>
      <c r="DJ317" s="10"/>
      <c r="DK317" s="10"/>
      <c r="DL317" s="10"/>
      <c r="DM317" s="10"/>
      <c r="DN317" s="10"/>
      <c r="DO317" s="10"/>
      <c r="DP317" s="10"/>
      <c r="DQ317" s="10"/>
      <c r="DR317" s="10"/>
    </row>
    <row r="318" spans="1:122" ht="15.75" customHeight="1">
      <c r="A318" s="300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97"/>
      <c r="DH318" s="197"/>
      <c r="DI318" s="197"/>
      <c r="DJ318" s="10"/>
      <c r="DK318" s="10"/>
      <c r="DL318" s="10"/>
      <c r="DM318" s="10"/>
      <c r="DN318" s="10"/>
      <c r="DO318" s="10"/>
      <c r="DP318" s="10"/>
      <c r="DQ318" s="10"/>
      <c r="DR318" s="10"/>
    </row>
    <row r="319" spans="1:122" ht="15.75" customHeight="1">
      <c r="A319" s="300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97"/>
      <c r="DH319" s="197"/>
      <c r="DI319" s="197"/>
      <c r="DJ319" s="10"/>
      <c r="DK319" s="10"/>
      <c r="DL319" s="10"/>
      <c r="DM319" s="10"/>
      <c r="DN319" s="10"/>
      <c r="DO319" s="10"/>
      <c r="DP319" s="10"/>
      <c r="DQ319" s="10"/>
      <c r="DR319" s="10"/>
    </row>
    <row r="320" spans="1:122" ht="15.75" customHeight="1">
      <c r="A320" s="300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97"/>
      <c r="DH320" s="197"/>
      <c r="DI320" s="197"/>
      <c r="DJ320" s="10"/>
      <c r="DK320" s="10"/>
      <c r="DL320" s="10"/>
      <c r="DM320" s="10"/>
      <c r="DN320" s="10"/>
      <c r="DO320" s="10"/>
      <c r="DP320" s="10"/>
      <c r="DQ320" s="10"/>
      <c r="DR320" s="10"/>
    </row>
    <row r="321" spans="1:122" ht="15.75" customHeight="1">
      <c r="A321" s="300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97"/>
      <c r="DH321" s="197"/>
      <c r="DI321" s="197"/>
      <c r="DJ321" s="10"/>
      <c r="DK321" s="10"/>
      <c r="DL321" s="10"/>
      <c r="DM321" s="10"/>
      <c r="DN321" s="10"/>
      <c r="DO321" s="10"/>
      <c r="DP321" s="10"/>
      <c r="DQ321" s="10"/>
      <c r="DR321" s="10"/>
    </row>
    <row r="322" spans="1:122" ht="15.75" customHeight="1">
      <c r="A322" s="300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97"/>
      <c r="DH322" s="197"/>
      <c r="DI322" s="197"/>
      <c r="DJ322" s="10"/>
      <c r="DK322" s="10"/>
      <c r="DL322" s="10"/>
      <c r="DM322" s="10"/>
      <c r="DN322" s="10"/>
      <c r="DO322" s="10"/>
      <c r="DP322" s="10"/>
      <c r="DQ322" s="10"/>
      <c r="DR322" s="10"/>
    </row>
    <row r="323" spans="1:122" ht="15.75" customHeight="1">
      <c r="A323" s="300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97"/>
      <c r="DH323" s="197"/>
      <c r="DI323" s="197"/>
      <c r="DJ323" s="10"/>
      <c r="DK323" s="10"/>
      <c r="DL323" s="10"/>
      <c r="DM323" s="10"/>
      <c r="DN323" s="10"/>
      <c r="DO323" s="10"/>
      <c r="DP323" s="10"/>
      <c r="DQ323" s="10"/>
      <c r="DR323" s="10"/>
    </row>
    <row r="324" spans="1:122" ht="15.75" customHeight="1">
      <c r="A324" s="300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97"/>
      <c r="DH324" s="197"/>
      <c r="DI324" s="197"/>
      <c r="DJ324" s="10"/>
      <c r="DK324" s="10"/>
      <c r="DL324" s="10"/>
      <c r="DM324" s="10"/>
      <c r="DN324" s="10"/>
      <c r="DO324" s="10"/>
      <c r="DP324" s="10"/>
      <c r="DQ324" s="10"/>
      <c r="DR324" s="10"/>
    </row>
    <row r="325" spans="1:122" ht="15.75" customHeight="1">
      <c r="A325" s="300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97"/>
      <c r="DH325" s="197"/>
      <c r="DI325" s="197"/>
      <c r="DJ325" s="10"/>
      <c r="DK325" s="10"/>
      <c r="DL325" s="10"/>
      <c r="DM325" s="10"/>
      <c r="DN325" s="10"/>
      <c r="DO325" s="10"/>
      <c r="DP325" s="10"/>
      <c r="DQ325" s="10"/>
      <c r="DR325" s="10"/>
    </row>
    <row r="326" spans="1:122" ht="15.75" customHeight="1">
      <c r="A326" s="300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97"/>
      <c r="DH326" s="197"/>
      <c r="DI326" s="197"/>
      <c r="DJ326" s="10"/>
      <c r="DK326" s="10"/>
      <c r="DL326" s="10"/>
      <c r="DM326" s="10"/>
      <c r="DN326" s="10"/>
      <c r="DO326" s="10"/>
      <c r="DP326" s="10"/>
      <c r="DQ326" s="10"/>
      <c r="DR326" s="10"/>
    </row>
    <row r="327" spans="1:122" ht="15.75" customHeight="1">
      <c r="A327" s="300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97"/>
      <c r="DH327" s="197"/>
      <c r="DI327" s="197"/>
      <c r="DJ327" s="10"/>
      <c r="DK327" s="10"/>
      <c r="DL327" s="10"/>
      <c r="DM327" s="10"/>
      <c r="DN327" s="10"/>
      <c r="DO327" s="10"/>
      <c r="DP327" s="10"/>
      <c r="DQ327" s="10"/>
      <c r="DR327" s="10"/>
    </row>
    <row r="328" spans="1:122" ht="15.75" customHeight="1">
      <c r="A328" s="300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97"/>
      <c r="DH328" s="197"/>
      <c r="DI328" s="197"/>
      <c r="DJ328" s="10"/>
      <c r="DK328" s="10"/>
      <c r="DL328" s="10"/>
      <c r="DM328" s="10"/>
      <c r="DN328" s="10"/>
      <c r="DO328" s="10"/>
      <c r="DP328" s="10"/>
      <c r="DQ328" s="10"/>
      <c r="DR328" s="10"/>
    </row>
    <row r="329" spans="1:122" ht="15.75" customHeight="1">
      <c r="A329" s="300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97"/>
      <c r="DH329" s="197"/>
      <c r="DI329" s="197"/>
      <c r="DJ329" s="10"/>
      <c r="DK329" s="10"/>
      <c r="DL329" s="10"/>
      <c r="DM329" s="10"/>
      <c r="DN329" s="10"/>
      <c r="DO329" s="10"/>
      <c r="DP329" s="10"/>
      <c r="DQ329" s="10"/>
      <c r="DR329" s="10"/>
    </row>
    <row r="330" spans="1:122" ht="15.75" customHeight="1">
      <c r="A330" s="300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97"/>
      <c r="DH330" s="197"/>
      <c r="DI330" s="197"/>
      <c r="DJ330" s="10"/>
      <c r="DK330" s="10"/>
      <c r="DL330" s="10"/>
      <c r="DM330" s="10"/>
      <c r="DN330" s="10"/>
      <c r="DO330" s="10"/>
      <c r="DP330" s="10"/>
      <c r="DQ330" s="10"/>
      <c r="DR330" s="10"/>
    </row>
    <row r="331" spans="1:122" ht="15.75" customHeight="1">
      <c r="A331" s="300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97"/>
      <c r="DH331" s="197"/>
      <c r="DI331" s="197"/>
      <c r="DJ331" s="10"/>
      <c r="DK331" s="10"/>
      <c r="DL331" s="10"/>
      <c r="DM331" s="10"/>
      <c r="DN331" s="10"/>
      <c r="DO331" s="10"/>
      <c r="DP331" s="10"/>
      <c r="DQ331" s="10"/>
      <c r="DR331" s="10"/>
    </row>
    <row r="332" spans="1:122" ht="15.75" customHeight="1">
      <c r="A332" s="300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97"/>
      <c r="DH332" s="197"/>
      <c r="DI332" s="197"/>
      <c r="DJ332" s="10"/>
      <c r="DK332" s="10"/>
      <c r="DL332" s="10"/>
      <c r="DM332" s="10"/>
      <c r="DN332" s="10"/>
      <c r="DO332" s="10"/>
      <c r="DP332" s="10"/>
      <c r="DQ332" s="10"/>
      <c r="DR332" s="10"/>
    </row>
    <row r="333" spans="1:122" ht="15.75" customHeight="1">
      <c r="A333" s="300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97"/>
      <c r="DH333" s="197"/>
      <c r="DI333" s="197"/>
      <c r="DJ333" s="10"/>
      <c r="DK333" s="10"/>
      <c r="DL333" s="10"/>
      <c r="DM333" s="10"/>
      <c r="DN333" s="10"/>
      <c r="DO333" s="10"/>
      <c r="DP333" s="10"/>
      <c r="DQ333" s="10"/>
      <c r="DR333" s="10"/>
    </row>
    <row r="334" spans="1:122" ht="15.75" customHeight="1">
      <c r="A334" s="300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97"/>
      <c r="DH334" s="197"/>
      <c r="DI334" s="197"/>
      <c r="DJ334" s="10"/>
      <c r="DK334" s="10"/>
      <c r="DL334" s="10"/>
      <c r="DM334" s="10"/>
      <c r="DN334" s="10"/>
      <c r="DO334" s="10"/>
      <c r="DP334" s="10"/>
      <c r="DQ334" s="10"/>
      <c r="DR334" s="10"/>
    </row>
    <row r="335" spans="1:122" ht="15.75" customHeight="1">
      <c r="A335" s="300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97"/>
      <c r="DH335" s="197"/>
      <c r="DI335" s="197"/>
      <c r="DJ335" s="10"/>
      <c r="DK335" s="10"/>
      <c r="DL335" s="10"/>
      <c r="DM335" s="10"/>
      <c r="DN335" s="10"/>
      <c r="DO335" s="10"/>
      <c r="DP335" s="10"/>
      <c r="DQ335" s="10"/>
      <c r="DR335" s="10"/>
    </row>
    <row r="336" spans="1:122" ht="15.75" customHeight="1">
      <c r="A336" s="300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97"/>
      <c r="DH336" s="197"/>
      <c r="DI336" s="197"/>
      <c r="DJ336" s="10"/>
      <c r="DK336" s="10"/>
      <c r="DL336" s="10"/>
      <c r="DM336" s="10"/>
      <c r="DN336" s="10"/>
      <c r="DO336" s="10"/>
      <c r="DP336" s="10"/>
      <c r="DQ336" s="10"/>
      <c r="DR336" s="10"/>
    </row>
    <row r="337" spans="1:122" ht="15.75" customHeight="1">
      <c r="A337" s="300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97"/>
      <c r="DH337" s="197"/>
      <c r="DI337" s="197"/>
      <c r="DJ337" s="10"/>
      <c r="DK337" s="10"/>
      <c r="DL337" s="10"/>
      <c r="DM337" s="10"/>
      <c r="DN337" s="10"/>
      <c r="DO337" s="10"/>
      <c r="DP337" s="10"/>
      <c r="DQ337" s="10"/>
      <c r="DR337" s="10"/>
    </row>
    <row r="338" spans="1:122" ht="15.75" customHeight="1">
      <c r="A338" s="300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97"/>
      <c r="DH338" s="197"/>
      <c r="DI338" s="197"/>
      <c r="DJ338" s="10"/>
      <c r="DK338" s="10"/>
      <c r="DL338" s="10"/>
      <c r="DM338" s="10"/>
      <c r="DN338" s="10"/>
      <c r="DO338" s="10"/>
      <c r="DP338" s="10"/>
      <c r="DQ338" s="10"/>
      <c r="DR338" s="10"/>
    </row>
    <row r="339" spans="1:122" ht="15.75" customHeight="1">
      <c r="A339" s="300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97"/>
      <c r="DH339" s="197"/>
      <c r="DI339" s="197"/>
      <c r="DJ339" s="10"/>
      <c r="DK339" s="10"/>
      <c r="DL339" s="10"/>
      <c r="DM339" s="10"/>
      <c r="DN339" s="10"/>
      <c r="DO339" s="10"/>
      <c r="DP339" s="10"/>
      <c r="DQ339" s="10"/>
      <c r="DR339" s="10"/>
    </row>
    <row r="340" spans="1:122" ht="15.75" customHeight="1">
      <c r="A340" s="300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97"/>
      <c r="DH340" s="197"/>
      <c r="DI340" s="197"/>
      <c r="DJ340" s="10"/>
      <c r="DK340" s="10"/>
      <c r="DL340" s="10"/>
      <c r="DM340" s="10"/>
      <c r="DN340" s="10"/>
      <c r="DO340" s="10"/>
      <c r="DP340" s="10"/>
      <c r="DQ340" s="10"/>
      <c r="DR340" s="10"/>
    </row>
    <row r="341" spans="1:122" ht="15.75" customHeight="1">
      <c r="A341" s="300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97"/>
      <c r="DH341" s="197"/>
      <c r="DI341" s="197"/>
      <c r="DJ341" s="10"/>
      <c r="DK341" s="10"/>
      <c r="DL341" s="10"/>
      <c r="DM341" s="10"/>
      <c r="DN341" s="10"/>
      <c r="DO341" s="10"/>
      <c r="DP341" s="10"/>
      <c r="DQ341" s="10"/>
      <c r="DR341" s="10"/>
    </row>
    <row r="342" spans="1:122" ht="15.75" customHeight="1">
      <c r="A342" s="300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97"/>
      <c r="DH342" s="197"/>
      <c r="DI342" s="197"/>
      <c r="DJ342" s="10"/>
      <c r="DK342" s="10"/>
      <c r="DL342" s="10"/>
      <c r="DM342" s="10"/>
      <c r="DN342" s="10"/>
      <c r="DO342" s="10"/>
      <c r="DP342" s="10"/>
      <c r="DQ342" s="10"/>
      <c r="DR342" s="10"/>
    </row>
    <row r="343" spans="1:122" ht="15.75" customHeight="1">
      <c r="A343" s="300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97"/>
      <c r="DH343" s="197"/>
      <c r="DI343" s="197"/>
      <c r="DJ343" s="10"/>
      <c r="DK343" s="10"/>
      <c r="DL343" s="10"/>
      <c r="DM343" s="10"/>
      <c r="DN343" s="10"/>
      <c r="DO343" s="10"/>
      <c r="DP343" s="10"/>
      <c r="DQ343" s="10"/>
      <c r="DR343" s="10"/>
    </row>
    <row r="344" spans="1:122" ht="15.75" customHeight="1">
      <c r="A344" s="300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97"/>
      <c r="DH344" s="197"/>
      <c r="DI344" s="197"/>
      <c r="DJ344" s="10"/>
      <c r="DK344" s="10"/>
      <c r="DL344" s="10"/>
      <c r="DM344" s="10"/>
      <c r="DN344" s="10"/>
      <c r="DO344" s="10"/>
      <c r="DP344" s="10"/>
      <c r="DQ344" s="10"/>
      <c r="DR344" s="10"/>
    </row>
    <row r="345" spans="1:122" ht="15.75" customHeight="1">
      <c r="A345" s="300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97"/>
      <c r="DH345" s="197"/>
      <c r="DI345" s="197"/>
      <c r="DJ345" s="10"/>
      <c r="DK345" s="10"/>
      <c r="DL345" s="10"/>
      <c r="DM345" s="10"/>
      <c r="DN345" s="10"/>
      <c r="DO345" s="10"/>
      <c r="DP345" s="10"/>
      <c r="DQ345" s="10"/>
      <c r="DR345" s="10"/>
    </row>
    <row r="346" spans="1:122" ht="15.75" customHeight="1">
      <c r="A346" s="300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97"/>
      <c r="DH346" s="197"/>
      <c r="DI346" s="197"/>
      <c r="DJ346" s="10"/>
      <c r="DK346" s="10"/>
      <c r="DL346" s="10"/>
      <c r="DM346" s="10"/>
      <c r="DN346" s="10"/>
      <c r="DO346" s="10"/>
      <c r="DP346" s="10"/>
      <c r="DQ346" s="10"/>
      <c r="DR346" s="10"/>
    </row>
    <row r="347" spans="1:122" ht="15.75" customHeight="1">
      <c r="A347" s="300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97"/>
      <c r="DH347" s="197"/>
      <c r="DI347" s="197"/>
      <c r="DJ347" s="10"/>
      <c r="DK347" s="10"/>
      <c r="DL347" s="10"/>
      <c r="DM347" s="10"/>
      <c r="DN347" s="10"/>
      <c r="DO347" s="10"/>
      <c r="DP347" s="10"/>
      <c r="DQ347" s="10"/>
      <c r="DR347" s="10"/>
    </row>
    <row r="348" spans="1:122" ht="15.75" customHeight="1">
      <c r="A348" s="300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97"/>
      <c r="DH348" s="197"/>
      <c r="DI348" s="197"/>
      <c r="DJ348" s="10"/>
      <c r="DK348" s="10"/>
      <c r="DL348" s="10"/>
      <c r="DM348" s="10"/>
      <c r="DN348" s="10"/>
      <c r="DO348" s="10"/>
      <c r="DP348" s="10"/>
      <c r="DQ348" s="10"/>
      <c r="DR348" s="10"/>
    </row>
    <row r="349" spans="1:122" ht="15.75" customHeight="1">
      <c r="A349" s="300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97"/>
      <c r="DH349" s="197"/>
      <c r="DI349" s="197"/>
      <c r="DJ349" s="10"/>
      <c r="DK349" s="10"/>
      <c r="DL349" s="10"/>
      <c r="DM349" s="10"/>
      <c r="DN349" s="10"/>
      <c r="DO349" s="10"/>
      <c r="DP349" s="10"/>
      <c r="DQ349" s="10"/>
      <c r="DR349" s="10"/>
    </row>
    <row r="350" spans="1:122" ht="15.75" customHeight="1">
      <c r="A350" s="300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97"/>
      <c r="DH350" s="197"/>
      <c r="DI350" s="197"/>
      <c r="DJ350" s="10"/>
      <c r="DK350" s="10"/>
      <c r="DL350" s="10"/>
      <c r="DM350" s="10"/>
      <c r="DN350" s="10"/>
      <c r="DO350" s="10"/>
      <c r="DP350" s="10"/>
      <c r="DQ350" s="10"/>
      <c r="DR350" s="10"/>
    </row>
    <row r="351" spans="1:122" ht="15.75" customHeight="1">
      <c r="A351" s="300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97"/>
      <c r="DH351" s="197"/>
      <c r="DI351" s="197"/>
      <c r="DJ351" s="10"/>
      <c r="DK351" s="10"/>
      <c r="DL351" s="10"/>
      <c r="DM351" s="10"/>
      <c r="DN351" s="10"/>
      <c r="DO351" s="10"/>
      <c r="DP351" s="10"/>
      <c r="DQ351" s="10"/>
      <c r="DR351" s="10"/>
    </row>
    <row r="352" spans="1:122" ht="15.75" customHeight="1">
      <c r="A352" s="300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97"/>
      <c r="DH352" s="197"/>
      <c r="DI352" s="197"/>
      <c r="DJ352" s="10"/>
      <c r="DK352" s="10"/>
      <c r="DL352" s="10"/>
      <c r="DM352" s="10"/>
      <c r="DN352" s="10"/>
      <c r="DO352" s="10"/>
      <c r="DP352" s="10"/>
      <c r="DQ352" s="10"/>
      <c r="DR352" s="10"/>
    </row>
    <row r="353" spans="1:122" ht="15.75" customHeight="1">
      <c r="A353" s="300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97"/>
      <c r="DH353" s="197"/>
      <c r="DI353" s="197"/>
      <c r="DJ353" s="10"/>
      <c r="DK353" s="10"/>
      <c r="DL353" s="10"/>
      <c r="DM353" s="10"/>
      <c r="DN353" s="10"/>
      <c r="DO353" s="10"/>
      <c r="DP353" s="10"/>
      <c r="DQ353" s="10"/>
      <c r="DR353" s="10"/>
    </row>
    <row r="354" spans="1:122" ht="15.75" customHeight="1">
      <c r="A354" s="300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97"/>
      <c r="DH354" s="197"/>
      <c r="DI354" s="197"/>
      <c r="DJ354" s="10"/>
      <c r="DK354" s="10"/>
      <c r="DL354" s="10"/>
      <c r="DM354" s="10"/>
      <c r="DN354" s="10"/>
      <c r="DO354" s="10"/>
      <c r="DP354" s="10"/>
      <c r="DQ354" s="10"/>
      <c r="DR354" s="10"/>
    </row>
    <row r="355" spans="1:122" ht="15.75" customHeight="1">
      <c r="A355" s="300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97"/>
      <c r="DH355" s="197"/>
      <c r="DI355" s="197"/>
      <c r="DJ355" s="10"/>
      <c r="DK355" s="10"/>
      <c r="DL355" s="10"/>
      <c r="DM355" s="10"/>
      <c r="DN355" s="10"/>
      <c r="DO355" s="10"/>
      <c r="DP355" s="10"/>
      <c r="DQ355" s="10"/>
      <c r="DR355" s="10"/>
    </row>
    <row r="356" spans="1:122" ht="15.75" customHeight="1">
      <c r="A356" s="300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97"/>
      <c r="DH356" s="197"/>
      <c r="DI356" s="197"/>
      <c r="DJ356" s="10"/>
      <c r="DK356" s="10"/>
      <c r="DL356" s="10"/>
      <c r="DM356" s="10"/>
      <c r="DN356" s="10"/>
      <c r="DO356" s="10"/>
      <c r="DP356" s="10"/>
      <c r="DQ356" s="10"/>
      <c r="DR356" s="10"/>
    </row>
    <row r="357" spans="1:122" ht="15.75" customHeight="1">
      <c r="A357" s="300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97"/>
      <c r="DH357" s="197"/>
      <c r="DI357" s="197"/>
      <c r="DJ357" s="10"/>
      <c r="DK357" s="10"/>
      <c r="DL357" s="10"/>
      <c r="DM357" s="10"/>
      <c r="DN357" s="10"/>
      <c r="DO357" s="10"/>
      <c r="DP357" s="10"/>
      <c r="DQ357" s="10"/>
      <c r="DR357" s="10"/>
    </row>
    <row r="358" spans="1:122" ht="15.75" customHeight="1">
      <c r="A358" s="300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97"/>
      <c r="DH358" s="197"/>
      <c r="DI358" s="197"/>
      <c r="DJ358" s="10"/>
      <c r="DK358" s="10"/>
      <c r="DL358" s="10"/>
      <c r="DM358" s="10"/>
      <c r="DN358" s="10"/>
      <c r="DO358" s="10"/>
      <c r="DP358" s="10"/>
      <c r="DQ358" s="10"/>
      <c r="DR358" s="10"/>
    </row>
    <row r="359" spans="1:122" ht="15.75" customHeight="1">
      <c r="A359" s="300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97"/>
      <c r="DH359" s="197"/>
      <c r="DI359" s="197"/>
      <c r="DJ359" s="10"/>
      <c r="DK359" s="10"/>
      <c r="DL359" s="10"/>
      <c r="DM359" s="10"/>
      <c r="DN359" s="10"/>
      <c r="DO359" s="10"/>
      <c r="DP359" s="10"/>
      <c r="DQ359" s="10"/>
      <c r="DR359" s="10"/>
    </row>
    <row r="360" spans="1:122" ht="15.75" customHeight="1">
      <c r="A360" s="300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97"/>
      <c r="DH360" s="197"/>
      <c r="DI360" s="197"/>
      <c r="DJ360" s="10"/>
      <c r="DK360" s="10"/>
      <c r="DL360" s="10"/>
      <c r="DM360" s="10"/>
      <c r="DN360" s="10"/>
      <c r="DO360" s="10"/>
      <c r="DP360" s="10"/>
      <c r="DQ360" s="10"/>
      <c r="DR360" s="10"/>
    </row>
    <row r="361" spans="1:122" ht="15.75" customHeight="1">
      <c r="A361" s="300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97"/>
      <c r="DH361" s="197"/>
      <c r="DI361" s="197"/>
      <c r="DJ361" s="10"/>
      <c r="DK361" s="10"/>
      <c r="DL361" s="10"/>
      <c r="DM361" s="10"/>
      <c r="DN361" s="10"/>
      <c r="DO361" s="10"/>
      <c r="DP361" s="10"/>
      <c r="DQ361" s="10"/>
      <c r="DR361" s="10"/>
    </row>
    <row r="362" spans="1:122" ht="15.75" customHeight="1">
      <c r="A362" s="300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97"/>
      <c r="DH362" s="197"/>
      <c r="DI362" s="197"/>
      <c r="DJ362" s="10"/>
      <c r="DK362" s="10"/>
      <c r="DL362" s="10"/>
      <c r="DM362" s="10"/>
      <c r="DN362" s="10"/>
      <c r="DO362" s="10"/>
      <c r="DP362" s="10"/>
      <c r="DQ362" s="10"/>
      <c r="DR362" s="10"/>
    </row>
    <row r="363" spans="1:122" ht="15.75" customHeight="1">
      <c r="A363" s="300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97"/>
      <c r="DH363" s="197"/>
      <c r="DI363" s="197"/>
      <c r="DJ363" s="10"/>
      <c r="DK363" s="10"/>
      <c r="DL363" s="10"/>
      <c r="DM363" s="10"/>
      <c r="DN363" s="10"/>
      <c r="DO363" s="10"/>
      <c r="DP363" s="10"/>
      <c r="DQ363" s="10"/>
      <c r="DR363" s="10"/>
    </row>
    <row r="364" spans="1:122" ht="15.75" customHeight="1">
      <c r="A364" s="300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97"/>
      <c r="DH364" s="197"/>
      <c r="DI364" s="197"/>
      <c r="DJ364" s="10"/>
      <c r="DK364" s="10"/>
      <c r="DL364" s="10"/>
      <c r="DM364" s="10"/>
      <c r="DN364" s="10"/>
      <c r="DO364" s="10"/>
      <c r="DP364" s="10"/>
      <c r="DQ364" s="10"/>
      <c r="DR364" s="10"/>
    </row>
    <row r="365" spans="1:122" ht="15.75" customHeight="1">
      <c r="A365" s="300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97"/>
      <c r="DH365" s="197"/>
      <c r="DI365" s="197"/>
      <c r="DJ365" s="10"/>
      <c r="DK365" s="10"/>
      <c r="DL365" s="10"/>
      <c r="DM365" s="10"/>
      <c r="DN365" s="10"/>
      <c r="DO365" s="10"/>
      <c r="DP365" s="10"/>
      <c r="DQ365" s="10"/>
      <c r="DR365" s="10"/>
    </row>
    <row r="366" spans="1:122" ht="15.75" customHeight="1">
      <c r="A366" s="300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97"/>
      <c r="DH366" s="197"/>
      <c r="DI366" s="197"/>
      <c r="DJ366" s="10"/>
      <c r="DK366" s="10"/>
      <c r="DL366" s="10"/>
      <c r="DM366" s="10"/>
      <c r="DN366" s="10"/>
      <c r="DO366" s="10"/>
      <c r="DP366" s="10"/>
      <c r="DQ366" s="10"/>
      <c r="DR366" s="10"/>
    </row>
    <row r="367" spans="1:122" ht="15.75" customHeight="1">
      <c r="A367" s="300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97"/>
      <c r="DH367" s="197"/>
      <c r="DI367" s="197"/>
      <c r="DJ367" s="10"/>
      <c r="DK367" s="10"/>
      <c r="DL367" s="10"/>
      <c r="DM367" s="10"/>
      <c r="DN367" s="10"/>
      <c r="DO367" s="10"/>
      <c r="DP367" s="10"/>
      <c r="DQ367" s="10"/>
      <c r="DR367" s="10"/>
    </row>
    <row r="368" spans="1:122" ht="15.75" customHeight="1">
      <c r="A368" s="300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97"/>
      <c r="DH368" s="197"/>
      <c r="DI368" s="197"/>
      <c r="DJ368" s="10"/>
      <c r="DK368" s="10"/>
      <c r="DL368" s="10"/>
      <c r="DM368" s="10"/>
      <c r="DN368" s="10"/>
      <c r="DO368" s="10"/>
      <c r="DP368" s="10"/>
      <c r="DQ368" s="10"/>
      <c r="DR368" s="10"/>
    </row>
    <row r="369" spans="1:122" ht="15.75" customHeight="1">
      <c r="A369" s="300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97"/>
      <c r="DH369" s="197"/>
      <c r="DI369" s="197"/>
      <c r="DJ369" s="10"/>
      <c r="DK369" s="10"/>
      <c r="DL369" s="10"/>
      <c r="DM369" s="10"/>
      <c r="DN369" s="10"/>
      <c r="DO369" s="10"/>
      <c r="DP369" s="10"/>
      <c r="DQ369" s="10"/>
      <c r="DR369" s="10"/>
    </row>
    <row r="370" spans="1:122" ht="15.75" customHeight="1">
      <c r="A370" s="300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97"/>
      <c r="DH370" s="197"/>
      <c r="DI370" s="197"/>
      <c r="DJ370" s="10"/>
      <c r="DK370" s="10"/>
      <c r="DL370" s="10"/>
      <c r="DM370" s="10"/>
      <c r="DN370" s="10"/>
      <c r="DO370" s="10"/>
      <c r="DP370" s="10"/>
      <c r="DQ370" s="10"/>
      <c r="DR370" s="10"/>
    </row>
    <row r="371" spans="1:122" ht="15.75" customHeight="1">
      <c r="A371" s="300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97"/>
      <c r="DH371" s="197"/>
      <c r="DI371" s="197"/>
      <c r="DJ371" s="10"/>
      <c r="DK371" s="10"/>
      <c r="DL371" s="10"/>
      <c r="DM371" s="10"/>
      <c r="DN371" s="10"/>
      <c r="DO371" s="10"/>
      <c r="DP371" s="10"/>
      <c r="DQ371" s="10"/>
      <c r="DR371" s="10"/>
    </row>
    <row r="372" spans="1:122" ht="15.75" customHeight="1">
      <c r="A372" s="300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97"/>
      <c r="DH372" s="197"/>
      <c r="DI372" s="197"/>
      <c r="DJ372" s="10"/>
      <c r="DK372" s="10"/>
      <c r="DL372" s="10"/>
      <c r="DM372" s="10"/>
      <c r="DN372" s="10"/>
      <c r="DO372" s="10"/>
      <c r="DP372" s="10"/>
      <c r="DQ372" s="10"/>
      <c r="DR372" s="10"/>
    </row>
    <row r="373" spans="1:122" ht="15.75" customHeight="1">
      <c r="A373" s="300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97"/>
      <c r="DH373" s="197"/>
      <c r="DI373" s="197"/>
      <c r="DJ373" s="10"/>
      <c r="DK373" s="10"/>
      <c r="DL373" s="10"/>
      <c r="DM373" s="10"/>
      <c r="DN373" s="10"/>
      <c r="DO373" s="10"/>
      <c r="DP373" s="10"/>
      <c r="DQ373" s="10"/>
      <c r="DR373" s="10"/>
    </row>
    <row r="374" spans="1:122" ht="15.75" customHeight="1">
      <c r="A374" s="300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97"/>
      <c r="DH374" s="197"/>
      <c r="DI374" s="197"/>
      <c r="DJ374" s="10"/>
      <c r="DK374" s="10"/>
      <c r="DL374" s="10"/>
      <c r="DM374" s="10"/>
      <c r="DN374" s="10"/>
      <c r="DO374" s="10"/>
      <c r="DP374" s="10"/>
      <c r="DQ374" s="10"/>
      <c r="DR374" s="10"/>
    </row>
    <row r="375" spans="1:122" ht="15.75" customHeight="1">
      <c r="A375" s="300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97"/>
      <c r="DH375" s="197"/>
      <c r="DI375" s="197"/>
      <c r="DJ375" s="10"/>
      <c r="DK375" s="10"/>
      <c r="DL375" s="10"/>
      <c r="DM375" s="10"/>
      <c r="DN375" s="10"/>
      <c r="DO375" s="10"/>
      <c r="DP375" s="10"/>
      <c r="DQ375" s="10"/>
      <c r="DR375" s="10"/>
    </row>
    <row r="376" spans="1:122" ht="15.75" customHeight="1">
      <c r="A376" s="300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97"/>
      <c r="DH376" s="197"/>
      <c r="DI376" s="197"/>
      <c r="DJ376" s="10"/>
      <c r="DK376" s="10"/>
      <c r="DL376" s="10"/>
      <c r="DM376" s="10"/>
      <c r="DN376" s="10"/>
      <c r="DO376" s="10"/>
      <c r="DP376" s="10"/>
      <c r="DQ376" s="10"/>
      <c r="DR376" s="10"/>
    </row>
    <row r="377" spans="1:122" ht="15.75" customHeight="1">
      <c r="A377" s="300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97"/>
      <c r="DH377" s="197"/>
      <c r="DI377" s="197"/>
      <c r="DJ377" s="10"/>
      <c r="DK377" s="10"/>
      <c r="DL377" s="10"/>
      <c r="DM377" s="10"/>
      <c r="DN377" s="10"/>
      <c r="DO377" s="10"/>
      <c r="DP377" s="10"/>
      <c r="DQ377" s="10"/>
      <c r="DR377" s="10"/>
    </row>
    <row r="378" spans="1:122" ht="15.75" customHeight="1">
      <c r="A378" s="300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97"/>
      <c r="DH378" s="197"/>
      <c r="DI378" s="197"/>
      <c r="DJ378" s="10"/>
      <c r="DK378" s="10"/>
      <c r="DL378" s="10"/>
      <c r="DM378" s="10"/>
      <c r="DN378" s="10"/>
      <c r="DO378" s="10"/>
      <c r="DP378" s="10"/>
      <c r="DQ378" s="10"/>
      <c r="DR378" s="10"/>
    </row>
    <row r="379" spans="1:122" ht="15.75" customHeight="1">
      <c r="A379" s="300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97"/>
      <c r="DH379" s="197"/>
      <c r="DI379" s="197"/>
      <c r="DJ379" s="10"/>
      <c r="DK379" s="10"/>
      <c r="DL379" s="10"/>
      <c r="DM379" s="10"/>
      <c r="DN379" s="10"/>
      <c r="DO379" s="10"/>
      <c r="DP379" s="10"/>
      <c r="DQ379" s="10"/>
      <c r="DR379" s="10"/>
    </row>
    <row r="380" spans="1:122" ht="15.75" customHeight="1">
      <c r="A380" s="300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97"/>
      <c r="DH380" s="197"/>
      <c r="DI380" s="197"/>
      <c r="DJ380" s="10"/>
      <c r="DK380" s="10"/>
      <c r="DL380" s="10"/>
      <c r="DM380" s="10"/>
      <c r="DN380" s="10"/>
      <c r="DO380" s="10"/>
      <c r="DP380" s="10"/>
      <c r="DQ380" s="10"/>
      <c r="DR380" s="10"/>
    </row>
    <row r="381" spans="1:122" ht="15.75" customHeight="1">
      <c r="A381" s="300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97"/>
      <c r="DH381" s="197"/>
      <c r="DI381" s="197"/>
      <c r="DJ381" s="10"/>
      <c r="DK381" s="10"/>
      <c r="DL381" s="10"/>
      <c r="DM381" s="10"/>
      <c r="DN381" s="10"/>
      <c r="DO381" s="10"/>
      <c r="DP381" s="10"/>
      <c r="DQ381" s="10"/>
      <c r="DR381" s="10"/>
    </row>
    <row r="382" spans="1:122" ht="15.75" customHeight="1">
      <c r="A382" s="300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97"/>
      <c r="DH382" s="197"/>
      <c r="DI382" s="197"/>
      <c r="DJ382" s="10"/>
      <c r="DK382" s="10"/>
      <c r="DL382" s="10"/>
      <c r="DM382" s="10"/>
      <c r="DN382" s="10"/>
      <c r="DO382" s="10"/>
      <c r="DP382" s="10"/>
      <c r="DQ382" s="10"/>
      <c r="DR382" s="10"/>
    </row>
    <row r="383" spans="1:122" ht="15.75" customHeight="1">
      <c r="A383" s="300"/>
      <c r="B383" s="300"/>
      <c r="C383" s="300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97"/>
      <c r="DH383" s="197"/>
      <c r="DI383" s="197"/>
      <c r="DJ383" s="10"/>
      <c r="DK383" s="10"/>
      <c r="DL383" s="10"/>
      <c r="DM383" s="10"/>
      <c r="DN383" s="10"/>
      <c r="DO383" s="10"/>
      <c r="DP383" s="10"/>
      <c r="DQ383" s="10"/>
      <c r="DR383" s="10"/>
    </row>
    <row r="384" spans="1:122" ht="15.75" customHeight="1">
      <c r="A384" s="300"/>
      <c r="B384" s="300"/>
      <c r="C384" s="300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97"/>
      <c r="DH384" s="197"/>
      <c r="DI384" s="197"/>
      <c r="DJ384" s="10"/>
      <c r="DK384" s="10"/>
      <c r="DL384" s="10"/>
      <c r="DM384" s="10"/>
      <c r="DN384" s="10"/>
      <c r="DO384" s="10"/>
      <c r="DP384" s="10"/>
      <c r="DQ384" s="10"/>
      <c r="DR384" s="10"/>
    </row>
    <row r="385" spans="1:122" ht="15.75" customHeight="1">
      <c r="A385" s="300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97"/>
      <c r="DH385" s="197"/>
      <c r="DI385" s="197"/>
      <c r="DJ385" s="10"/>
      <c r="DK385" s="10"/>
      <c r="DL385" s="10"/>
      <c r="DM385" s="10"/>
      <c r="DN385" s="10"/>
      <c r="DO385" s="10"/>
      <c r="DP385" s="10"/>
      <c r="DQ385" s="10"/>
      <c r="DR385" s="10"/>
    </row>
    <row r="386" spans="1:122" ht="15.75" customHeight="1">
      <c r="A386" s="300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97"/>
      <c r="DH386" s="197"/>
      <c r="DI386" s="197"/>
      <c r="DJ386" s="10"/>
      <c r="DK386" s="10"/>
      <c r="DL386" s="10"/>
      <c r="DM386" s="10"/>
      <c r="DN386" s="10"/>
      <c r="DO386" s="10"/>
      <c r="DP386" s="10"/>
      <c r="DQ386" s="10"/>
      <c r="DR386" s="10"/>
    </row>
    <row r="387" spans="1:122" ht="15.75" customHeight="1">
      <c r="A387" s="300"/>
      <c r="B387" s="300"/>
      <c r="C387" s="300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97"/>
      <c r="DH387" s="197"/>
      <c r="DI387" s="197"/>
      <c r="DJ387" s="10"/>
      <c r="DK387" s="10"/>
      <c r="DL387" s="10"/>
      <c r="DM387" s="10"/>
      <c r="DN387" s="10"/>
      <c r="DO387" s="10"/>
      <c r="DP387" s="10"/>
      <c r="DQ387" s="10"/>
      <c r="DR387" s="10"/>
    </row>
    <row r="388" spans="1:122" ht="15.75" customHeight="1">
      <c r="A388" s="300"/>
      <c r="B388" s="300"/>
      <c r="C388" s="300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97"/>
      <c r="DH388" s="197"/>
      <c r="DI388" s="197"/>
      <c r="DJ388" s="10"/>
      <c r="DK388" s="10"/>
      <c r="DL388" s="10"/>
      <c r="DM388" s="10"/>
      <c r="DN388" s="10"/>
      <c r="DO388" s="10"/>
      <c r="DP388" s="10"/>
      <c r="DQ388" s="10"/>
      <c r="DR388" s="10"/>
    </row>
    <row r="389" spans="1:122" ht="15.75" customHeight="1">
      <c r="A389" s="300"/>
      <c r="B389" s="300"/>
      <c r="C389" s="300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97"/>
      <c r="DH389" s="197"/>
      <c r="DI389" s="197"/>
      <c r="DJ389" s="10"/>
      <c r="DK389" s="10"/>
      <c r="DL389" s="10"/>
      <c r="DM389" s="10"/>
      <c r="DN389" s="10"/>
      <c r="DO389" s="10"/>
      <c r="DP389" s="10"/>
      <c r="DQ389" s="10"/>
      <c r="DR389" s="10"/>
    </row>
    <row r="390" spans="1:122" ht="15.75" customHeight="1">
      <c r="A390" s="300"/>
      <c r="B390" s="300"/>
      <c r="C390" s="300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97"/>
      <c r="DH390" s="197"/>
      <c r="DI390" s="197"/>
      <c r="DJ390" s="10"/>
      <c r="DK390" s="10"/>
      <c r="DL390" s="10"/>
      <c r="DM390" s="10"/>
      <c r="DN390" s="10"/>
      <c r="DO390" s="10"/>
      <c r="DP390" s="10"/>
      <c r="DQ390" s="10"/>
      <c r="DR390" s="10"/>
    </row>
    <row r="391" spans="1:122" ht="15.75" customHeight="1">
      <c r="A391" s="300"/>
      <c r="B391" s="300"/>
      <c r="C391" s="300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97"/>
      <c r="DH391" s="197"/>
      <c r="DI391" s="197"/>
      <c r="DJ391" s="10"/>
      <c r="DK391" s="10"/>
      <c r="DL391" s="10"/>
      <c r="DM391" s="10"/>
      <c r="DN391" s="10"/>
      <c r="DO391" s="10"/>
      <c r="DP391" s="10"/>
      <c r="DQ391" s="10"/>
      <c r="DR391" s="10"/>
    </row>
    <row r="392" spans="1:122" ht="15.75" customHeight="1">
      <c r="A392" s="300"/>
      <c r="B392" s="300"/>
      <c r="C392" s="300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97"/>
      <c r="DH392" s="197"/>
      <c r="DI392" s="197"/>
      <c r="DJ392" s="10"/>
      <c r="DK392" s="10"/>
      <c r="DL392" s="10"/>
      <c r="DM392" s="10"/>
      <c r="DN392" s="10"/>
      <c r="DO392" s="10"/>
      <c r="DP392" s="10"/>
      <c r="DQ392" s="10"/>
      <c r="DR392" s="10"/>
    </row>
    <row r="393" spans="1:122" ht="15.75" customHeight="1">
      <c r="A393" s="300"/>
      <c r="B393" s="300"/>
      <c r="C393" s="300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97"/>
      <c r="DH393" s="197"/>
      <c r="DI393" s="197"/>
      <c r="DJ393" s="10"/>
      <c r="DK393" s="10"/>
      <c r="DL393" s="10"/>
      <c r="DM393" s="10"/>
      <c r="DN393" s="10"/>
      <c r="DO393" s="10"/>
      <c r="DP393" s="10"/>
      <c r="DQ393" s="10"/>
      <c r="DR393" s="10"/>
    </row>
    <row r="394" spans="1:122" ht="15.75" customHeight="1">
      <c r="A394" s="300"/>
      <c r="B394" s="300"/>
      <c r="C394" s="300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97"/>
      <c r="DH394" s="197"/>
      <c r="DI394" s="197"/>
      <c r="DJ394" s="10"/>
      <c r="DK394" s="10"/>
      <c r="DL394" s="10"/>
      <c r="DM394" s="10"/>
      <c r="DN394" s="10"/>
      <c r="DO394" s="10"/>
      <c r="DP394" s="10"/>
      <c r="DQ394" s="10"/>
      <c r="DR394" s="10"/>
    </row>
    <row r="395" spans="1:122" ht="15.75" customHeight="1">
      <c r="A395" s="300"/>
      <c r="B395" s="300"/>
      <c r="C395" s="300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97"/>
      <c r="DH395" s="197"/>
      <c r="DI395" s="197"/>
      <c r="DJ395" s="10"/>
      <c r="DK395" s="10"/>
      <c r="DL395" s="10"/>
      <c r="DM395" s="10"/>
      <c r="DN395" s="10"/>
      <c r="DO395" s="10"/>
      <c r="DP395" s="10"/>
      <c r="DQ395" s="10"/>
      <c r="DR395" s="10"/>
    </row>
    <row r="396" spans="1:122" ht="15.75" customHeight="1">
      <c r="A396" s="300"/>
      <c r="B396" s="300"/>
      <c r="C396" s="300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97"/>
      <c r="DH396" s="197"/>
      <c r="DI396" s="197"/>
      <c r="DJ396" s="10"/>
      <c r="DK396" s="10"/>
      <c r="DL396" s="10"/>
      <c r="DM396" s="10"/>
      <c r="DN396" s="10"/>
      <c r="DO396" s="10"/>
      <c r="DP396" s="10"/>
      <c r="DQ396" s="10"/>
      <c r="DR396" s="10"/>
    </row>
    <row r="397" spans="1:122" ht="15.75" customHeight="1">
      <c r="A397" s="300"/>
      <c r="B397" s="300"/>
      <c r="C397" s="300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97"/>
      <c r="DH397" s="197"/>
      <c r="DI397" s="197"/>
      <c r="DJ397" s="10"/>
      <c r="DK397" s="10"/>
      <c r="DL397" s="10"/>
      <c r="DM397" s="10"/>
      <c r="DN397" s="10"/>
      <c r="DO397" s="10"/>
      <c r="DP397" s="10"/>
      <c r="DQ397" s="10"/>
      <c r="DR397" s="10"/>
    </row>
    <row r="398" spans="1:122" ht="15.75" customHeight="1">
      <c r="A398" s="300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97"/>
      <c r="DH398" s="197"/>
      <c r="DI398" s="197"/>
      <c r="DJ398" s="10"/>
      <c r="DK398" s="10"/>
      <c r="DL398" s="10"/>
      <c r="DM398" s="10"/>
      <c r="DN398" s="10"/>
      <c r="DO398" s="10"/>
      <c r="DP398" s="10"/>
      <c r="DQ398" s="10"/>
      <c r="DR398" s="10"/>
    </row>
    <row r="399" spans="1:122" ht="15.75" customHeight="1">
      <c r="A399" s="300"/>
      <c r="B399" s="300"/>
      <c r="C399" s="300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97"/>
      <c r="DH399" s="197"/>
      <c r="DI399" s="197"/>
      <c r="DJ399" s="10"/>
      <c r="DK399" s="10"/>
      <c r="DL399" s="10"/>
      <c r="DM399" s="10"/>
      <c r="DN399" s="10"/>
      <c r="DO399" s="10"/>
      <c r="DP399" s="10"/>
      <c r="DQ399" s="10"/>
      <c r="DR399" s="10"/>
    </row>
    <row r="400" spans="1:122" ht="15.75" customHeight="1">
      <c r="A400" s="300"/>
      <c r="B400" s="300"/>
      <c r="C400" s="300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97"/>
      <c r="DH400" s="197"/>
      <c r="DI400" s="197"/>
      <c r="DJ400" s="10"/>
      <c r="DK400" s="10"/>
      <c r="DL400" s="10"/>
      <c r="DM400" s="10"/>
      <c r="DN400" s="10"/>
      <c r="DO400" s="10"/>
      <c r="DP400" s="10"/>
      <c r="DQ400" s="10"/>
      <c r="DR400" s="10"/>
    </row>
    <row r="401" spans="1:122" ht="15.75" customHeight="1">
      <c r="A401" s="300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97"/>
      <c r="DH401" s="197"/>
      <c r="DI401" s="197"/>
      <c r="DJ401" s="10"/>
      <c r="DK401" s="10"/>
      <c r="DL401" s="10"/>
      <c r="DM401" s="10"/>
      <c r="DN401" s="10"/>
      <c r="DO401" s="10"/>
      <c r="DP401" s="10"/>
      <c r="DQ401" s="10"/>
      <c r="DR401" s="10"/>
    </row>
    <row r="402" spans="1:122" ht="15.75" customHeight="1">
      <c r="A402" s="300"/>
      <c r="B402" s="300"/>
      <c r="C402" s="300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97"/>
      <c r="DH402" s="197"/>
      <c r="DI402" s="197"/>
      <c r="DJ402" s="10"/>
      <c r="DK402" s="10"/>
      <c r="DL402" s="10"/>
      <c r="DM402" s="10"/>
      <c r="DN402" s="10"/>
      <c r="DO402" s="10"/>
      <c r="DP402" s="10"/>
      <c r="DQ402" s="10"/>
      <c r="DR402" s="10"/>
    </row>
    <row r="403" spans="1:122" ht="15.75" customHeight="1">
      <c r="A403" s="300"/>
      <c r="B403" s="300"/>
      <c r="C403" s="300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97"/>
      <c r="DH403" s="197"/>
      <c r="DI403" s="197"/>
      <c r="DJ403" s="10"/>
      <c r="DK403" s="10"/>
      <c r="DL403" s="10"/>
      <c r="DM403" s="10"/>
      <c r="DN403" s="10"/>
      <c r="DO403" s="10"/>
      <c r="DP403" s="10"/>
      <c r="DQ403" s="10"/>
      <c r="DR403" s="10"/>
    </row>
    <row r="404" spans="1:122" ht="15.75" customHeight="1">
      <c r="A404" s="300"/>
      <c r="B404" s="300"/>
      <c r="C404" s="300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97"/>
      <c r="DH404" s="197"/>
      <c r="DI404" s="197"/>
      <c r="DJ404" s="10"/>
      <c r="DK404" s="10"/>
      <c r="DL404" s="10"/>
      <c r="DM404" s="10"/>
      <c r="DN404" s="10"/>
      <c r="DO404" s="10"/>
      <c r="DP404" s="10"/>
      <c r="DQ404" s="10"/>
      <c r="DR404" s="10"/>
    </row>
    <row r="405" spans="1:122" ht="15.75" customHeight="1">
      <c r="A405" s="300"/>
      <c r="B405" s="300"/>
      <c r="C405" s="300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97"/>
      <c r="DH405" s="197"/>
      <c r="DI405" s="197"/>
      <c r="DJ405" s="10"/>
      <c r="DK405" s="10"/>
      <c r="DL405" s="10"/>
      <c r="DM405" s="10"/>
      <c r="DN405" s="10"/>
      <c r="DO405" s="10"/>
      <c r="DP405" s="10"/>
      <c r="DQ405" s="10"/>
      <c r="DR405" s="10"/>
    </row>
    <row r="406" spans="1:122" ht="15.75" customHeight="1">
      <c r="A406" s="300"/>
      <c r="B406" s="300"/>
      <c r="C406" s="300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97"/>
      <c r="DH406" s="197"/>
      <c r="DI406" s="197"/>
      <c r="DJ406" s="10"/>
      <c r="DK406" s="10"/>
      <c r="DL406" s="10"/>
      <c r="DM406" s="10"/>
      <c r="DN406" s="10"/>
      <c r="DO406" s="10"/>
      <c r="DP406" s="10"/>
      <c r="DQ406" s="10"/>
      <c r="DR406" s="10"/>
    </row>
    <row r="407" spans="1:122" ht="15.75" customHeight="1">
      <c r="A407" s="300"/>
      <c r="B407" s="300"/>
      <c r="C407" s="300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97"/>
      <c r="DH407" s="197"/>
      <c r="DI407" s="197"/>
      <c r="DJ407" s="10"/>
      <c r="DK407" s="10"/>
      <c r="DL407" s="10"/>
      <c r="DM407" s="10"/>
      <c r="DN407" s="10"/>
      <c r="DO407" s="10"/>
      <c r="DP407" s="10"/>
      <c r="DQ407" s="10"/>
      <c r="DR407" s="10"/>
    </row>
    <row r="408" spans="1:122" ht="15.75" customHeight="1">
      <c r="A408" s="300"/>
      <c r="B408" s="300"/>
      <c r="C408" s="300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97"/>
      <c r="DH408" s="197"/>
      <c r="DI408" s="197"/>
      <c r="DJ408" s="10"/>
      <c r="DK408" s="10"/>
      <c r="DL408" s="10"/>
      <c r="DM408" s="10"/>
      <c r="DN408" s="10"/>
      <c r="DO408" s="10"/>
      <c r="DP408" s="10"/>
      <c r="DQ408" s="10"/>
      <c r="DR408" s="10"/>
    </row>
    <row r="409" spans="1:122" ht="15.75" customHeight="1">
      <c r="A409" s="300"/>
      <c r="B409" s="300"/>
      <c r="C409" s="300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97"/>
      <c r="DH409" s="197"/>
      <c r="DI409" s="197"/>
      <c r="DJ409" s="10"/>
      <c r="DK409" s="10"/>
      <c r="DL409" s="10"/>
      <c r="DM409" s="10"/>
      <c r="DN409" s="10"/>
      <c r="DO409" s="10"/>
      <c r="DP409" s="10"/>
      <c r="DQ409" s="10"/>
      <c r="DR409" s="10"/>
    </row>
    <row r="410" spans="1:122" ht="15.75" customHeight="1">
      <c r="A410" s="300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97"/>
      <c r="DH410" s="197"/>
      <c r="DI410" s="197"/>
      <c r="DJ410" s="10"/>
      <c r="DK410" s="10"/>
      <c r="DL410" s="10"/>
      <c r="DM410" s="10"/>
      <c r="DN410" s="10"/>
      <c r="DO410" s="10"/>
      <c r="DP410" s="10"/>
      <c r="DQ410" s="10"/>
      <c r="DR410" s="10"/>
    </row>
    <row r="411" spans="1:122" ht="15.75" customHeight="1">
      <c r="A411" s="300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97"/>
      <c r="DH411" s="197"/>
      <c r="DI411" s="197"/>
      <c r="DJ411" s="10"/>
      <c r="DK411" s="10"/>
      <c r="DL411" s="10"/>
      <c r="DM411" s="10"/>
      <c r="DN411" s="10"/>
      <c r="DO411" s="10"/>
      <c r="DP411" s="10"/>
      <c r="DQ411" s="10"/>
      <c r="DR411" s="10"/>
    </row>
    <row r="412" spans="1:122" ht="15.75" customHeight="1">
      <c r="A412" s="300"/>
      <c r="B412" s="300"/>
      <c r="C412" s="300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97"/>
      <c r="DH412" s="197"/>
      <c r="DI412" s="197"/>
      <c r="DJ412" s="10"/>
      <c r="DK412" s="10"/>
      <c r="DL412" s="10"/>
      <c r="DM412" s="10"/>
      <c r="DN412" s="10"/>
      <c r="DO412" s="10"/>
      <c r="DP412" s="10"/>
      <c r="DQ412" s="10"/>
      <c r="DR412" s="10"/>
    </row>
    <row r="413" spans="1:122" ht="15.75" customHeight="1">
      <c r="A413" s="300"/>
      <c r="B413" s="300"/>
      <c r="C413" s="300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97"/>
      <c r="DH413" s="197"/>
      <c r="DI413" s="197"/>
      <c r="DJ413" s="10"/>
      <c r="DK413" s="10"/>
      <c r="DL413" s="10"/>
      <c r="DM413" s="10"/>
      <c r="DN413" s="10"/>
      <c r="DO413" s="10"/>
      <c r="DP413" s="10"/>
      <c r="DQ413" s="10"/>
      <c r="DR413" s="10"/>
    </row>
    <row r="414" spans="1:122" ht="15.75" customHeight="1">
      <c r="A414" s="300"/>
      <c r="B414" s="300"/>
      <c r="C414" s="300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97"/>
      <c r="DH414" s="197"/>
      <c r="DI414" s="197"/>
      <c r="DJ414" s="10"/>
      <c r="DK414" s="10"/>
      <c r="DL414" s="10"/>
      <c r="DM414" s="10"/>
      <c r="DN414" s="10"/>
      <c r="DO414" s="10"/>
      <c r="DP414" s="10"/>
      <c r="DQ414" s="10"/>
      <c r="DR414" s="10"/>
    </row>
    <row r="415" spans="1:122" ht="15.75" customHeight="1">
      <c r="A415" s="300"/>
      <c r="B415" s="300"/>
      <c r="C415" s="300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97"/>
      <c r="DH415" s="197"/>
      <c r="DI415" s="197"/>
      <c r="DJ415" s="10"/>
      <c r="DK415" s="10"/>
      <c r="DL415" s="10"/>
      <c r="DM415" s="10"/>
      <c r="DN415" s="10"/>
      <c r="DO415" s="10"/>
      <c r="DP415" s="10"/>
      <c r="DQ415" s="10"/>
      <c r="DR415" s="10"/>
    </row>
    <row r="416" spans="1:122" ht="15.75" customHeight="1">
      <c r="A416" s="300"/>
      <c r="B416" s="300"/>
      <c r="C416" s="300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97"/>
      <c r="DH416" s="197"/>
      <c r="DI416" s="197"/>
      <c r="DJ416" s="10"/>
      <c r="DK416" s="10"/>
      <c r="DL416" s="10"/>
      <c r="DM416" s="10"/>
      <c r="DN416" s="10"/>
      <c r="DO416" s="10"/>
      <c r="DP416" s="10"/>
      <c r="DQ416" s="10"/>
      <c r="DR416" s="10"/>
    </row>
    <row r="417" spans="1:122" ht="15.75" customHeight="1">
      <c r="A417" s="300"/>
      <c r="B417" s="300"/>
      <c r="C417" s="300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97"/>
      <c r="DH417" s="197"/>
      <c r="DI417" s="197"/>
      <c r="DJ417" s="10"/>
      <c r="DK417" s="10"/>
      <c r="DL417" s="10"/>
      <c r="DM417" s="10"/>
      <c r="DN417" s="10"/>
      <c r="DO417" s="10"/>
      <c r="DP417" s="10"/>
      <c r="DQ417" s="10"/>
      <c r="DR417" s="10"/>
    </row>
    <row r="418" spans="1:122" ht="15.75" customHeight="1">
      <c r="A418" s="300"/>
      <c r="B418" s="300"/>
      <c r="C418" s="300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97"/>
      <c r="DH418" s="197"/>
      <c r="DI418" s="197"/>
      <c r="DJ418" s="10"/>
      <c r="DK418" s="10"/>
      <c r="DL418" s="10"/>
      <c r="DM418" s="10"/>
      <c r="DN418" s="10"/>
      <c r="DO418" s="10"/>
      <c r="DP418" s="10"/>
      <c r="DQ418" s="10"/>
      <c r="DR418" s="10"/>
    </row>
    <row r="419" spans="1:122" ht="15.75" customHeight="1">
      <c r="A419" s="300"/>
      <c r="B419" s="300"/>
      <c r="C419" s="300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97"/>
      <c r="DH419" s="197"/>
      <c r="DI419" s="197"/>
      <c r="DJ419" s="10"/>
      <c r="DK419" s="10"/>
      <c r="DL419" s="10"/>
      <c r="DM419" s="10"/>
      <c r="DN419" s="10"/>
      <c r="DO419" s="10"/>
      <c r="DP419" s="10"/>
      <c r="DQ419" s="10"/>
      <c r="DR419" s="10"/>
    </row>
    <row r="420" spans="1:122" ht="15.75" customHeight="1">
      <c r="A420" s="300"/>
      <c r="B420" s="300"/>
      <c r="C420" s="300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97"/>
      <c r="DH420" s="197"/>
      <c r="DI420" s="197"/>
      <c r="DJ420" s="10"/>
      <c r="DK420" s="10"/>
      <c r="DL420" s="10"/>
      <c r="DM420" s="10"/>
      <c r="DN420" s="10"/>
      <c r="DO420" s="10"/>
      <c r="DP420" s="10"/>
      <c r="DQ420" s="10"/>
      <c r="DR420" s="10"/>
    </row>
    <row r="421" spans="1:122" ht="15.75" customHeight="1">
      <c r="A421" s="300"/>
      <c r="B421" s="300"/>
      <c r="C421" s="300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97"/>
      <c r="DH421" s="197"/>
      <c r="DI421" s="197"/>
      <c r="DJ421" s="10"/>
      <c r="DK421" s="10"/>
      <c r="DL421" s="10"/>
      <c r="DM421" s="10"/>
      <c r="DN421" s="10"/>
      <c r="DO421" s="10"/>
      <c r="DP421" s="10"/>
      <c r="DQ421" s="10"/>
      <c r="DR421" s="10"/>
    </row>
    <row r="422" spans="1:122" ht="15.75" customHeight="1">
      <c r="A422" s="300"/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97"/>
      <c r="DH422" s="197"/>
      <c r="DI422" s="197"/>
      <c r="DJ422" s="10"/>
      <c r="DK422" s="10"/>
      <c r="DL422" s="10"/>
      <c r="DM422" s="10"/>
      <c r="DN422" s="10"/>
      <c r="DO422" s="10"/>
      <c r="DP422" s="10"/>
      <c r="DQ422" s="10"/>
      <c r="DR422" s="10"/>
    </row>
    <row r="423" spans="1:122" ht="15.75" customHeight="1">
      <c r="A423" s="300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97"/>
      <c r="DH423" s="197"/>
      <c r="DI423" s="197"/>
      <c r="DJ423" s="10"/>
      <c r="DK423" s="10"/>
      <c r="DL423" s="10"/>
      <c r="DM423" s="10"/>
      <c r="DN423" s="10"/>
      <c r="DO423" s="10"/>
      <c r="DP423" s="10"/>
      <c r="DQ423" s="10"/>
      <c r="DR423" s="10"/>
    </row>
    <row r="424" spans="1:122" ht="15.75" customHeight="1">
      <c r="A424" s="300"/>
      <c r="B424" s="300"/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97"/>
      <c r="DH424" s="197"/>
      <c r="DI424" s="197"/>
      <c r="DJ424" s="10"/>
      <c r="DK424" s="10"/>
      <c r="DL424" s="10"/>
      <c r="DM424" s="10"/>
      <c r="DN424" s="10"/>
      <c r="DO424" s="10"/>
      <c r="DP424" s="10"/>
      <c r="DQ424" s="10"/>
      <c r="DR424" s="10"/>
    </row>
    <row r="425" spans="1:122" ht="15.75" customHeight="1">
      <c r="A425" s="300"/>
      <c r="B425" s="300"/>
      <c r="C425" s="300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97"/>
      <c r="DH425" s="197"/>
      <c r="DI425" s="197"/>
      <c r="DJ425" s="10"/>
      <c r="DK425" s="10"/>
      <c r="DL425" s="10"/>
      <c r="DM425" s="10"/>
      <c r="DN425" s="10"/>
      <c r="DO425" s="10"/>
      <c r="DP425" s="10"/>
      <c r="DQ425" s="10"/>
      <c r="DR425" s="10"/>
    </row>
    <row r="426" spans="1:122" ht="15.75" customHeight="1">
      <c r="A426" s="300"/>
      <c r="B426" s="300"/>
      <c r="C426" s="300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97"/>
      <c r="DH426" s="197"/>
      <c r="DI426" s="197"/>
      <c r="DJ426" s="10"/>
      <c r="DK426" s="10"/>
      <c r="DL426" s="10"/>
      <c r="DM426" s="10"/>
      <c r="DN426" s="10"/>
      <c r="DO426" s="10"/>
      <c r="DP426" s="10"/>
      <c r="DQ426" s="10"/>
      <c r="DR426" s="10"/>
    </row>
    <row r="427" spans="1:122" ht="15.75" customHeight="1">
      <c r="A427" s="300"/>
      <c r="B427" s="300"/>
      <c r="C427" s="300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97"/>
      <c r="DH427" s="197"/>
      <c r="DI427" s="197"/>
      <c r="DJ427" s="10"/>
      <c r="DK427" s="10"/>
      <c r="DL427" s="10"/>
      <c r="DM427" s="10"/>
      <c r="DN427" s="10"/>
      <c r="DO427" s="10"/>
      <c r="DP427" s="10"/>
      <c r="DQ427" s="10"/>
      <c r="DR427" s="10"/>
    </row>
    <row r="428" spans="1:122" ht="15.75" customHeight="1">
      <c r="A428" s="300"/>
      <c r="B428" s="300"/>
      <c r="C428" s="300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97"/>
      <c r="DH428" s="197"/>
      <c r="DI428" s="197"/>
      <c r="DJ428" s="10"/>
      <c r="DK428" s="10"/>
      <c r="DL428" s="10"/>
      <c r="DM428" s="10"/>
      <c r="DN428" s="10"/>
      <c r="DO428" s="10"/>
      <c r="DP428" s="10"/>
      <c r="DQ428" s="10"/>
      <c r="DR428" s="10"/>
    </row>
    <row r="429" spans="1:122" ht="15.75" customHeight="1">
      <c r="A429" s="300"/>
      <c r="B429" s="300"/>
      <c r="C429" s="300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97"/>
      <c r="DH429" s="197"/>
      <c r="DI429" s="197"/>
      <c r="DJ429" s="10"/>
      <c r="DK429" s="10"/>
      <c r="DL429" s="10"/>
      <c r="DM429" s="10"/>
      <c r="DN429" s="10"/>
      <c r="DO429" s="10"/>
      <c r="DP429" s="10"/>
      <c r="DQ429" s="10"/>
      <c r="DR429" s="10"/>
    </row>
    <row r="430" spans="1:122" ht="15.75" customHeight="1">
      <c r="A430" s="300"/>
      <c r="B430" s="300"/>
      <c r="C430" s="300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97"/>
      <c r="DH430" s="197"/>
      <c r="DI430" s="197"/>
      <c r="DJ430" s="10"/>
      <c r="DK430" s="10"/>
      <c r="DL430" s="10"/>
      <c r="DM430" s="10"/>
      <c r="DN430" s="10"/>
      <c r="DO430" s="10"/>
      <c r="DP430" s="10"/>
      <c r="DQ430" s="10"/>
      <c r="DR430" s="10"/>
    </row>
    <row r="431" spans="1:122" ht="15.75" customHeight="1">
      <c r="A431" s="300"/>
      <c r="B431" s="300"/>
      <c r="C431" s="300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97"/>
      <c r="DH431" s="197"/>
      <c r="DI431" s="197"/>
      <c r="DJ431" s="10"/>
      <c r="DK431" s="10"/>
      <c r="DL431" s="10"/>
      <c r="DM431" s="10"/>
      <c r="DN431" s="10"/>
      <c r="DO431" s="10"/>
      <c r="DP431" s="10"/>
      <c r="DQ431" s="10"/>
      <c r="DR431" s="10"/>
    </row>
    <row r="432" spans="1:122" ht="15.75" customHeight="1">
      <c r="A432" s="300"/>
      <c r="B432" s="300"/>
      <c r="C432" s="300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97"/>
      <c r="DH432" s="197"/>
      <c r="DI432" s="197"/>
      <c r="DJ432" s="10"/>
      <c r="DK432" s="10"/>
      <c r="DL432" s="10"/>
      <c r="DM432" s="10"/>
      <c r="DN432" s="10"/>
      <c r="DO432" s="10"/>
      <c r="DP432" s="10"/>
      <c r="DQ432" s="10"/>
      <c r="DR432" s="10"/>
    </row>
    <row r="433" spans="1:122" ht="15.75" customHeight="1">
      <c r="A433" s="300"/>
      <c r="B433" s="300"/>
      <c r="C433" s="300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97"/>
      <c r="DH433" s="197"/>
      <c r="DI433" s="197"/>
      <c r="DJ433" s="10"/>
      <c r="DK433" s="10"/>
      <c r="DL433" s="10"/>
      <c r="DM433" s="10"/>
      <c r="DN433" s="10"/>
      <c r="DO433" s="10"/>
      <c r="DP433" s="10"/>
      <c r="DQ433" s="10"/>
      <c r="DR433" s="10"/>
    </row>
    <row r="434" spans="1:122" ht="15.75" customHeight="1">
      <c r="A434" s="300"/>
      <c r="B434" s="300"/>
      <c r="C434" s="300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97"/>
      <c r="DH434" s="197"/>
      <c r="DI434" s="197"/>
      <c r="DJ434" s="10"/>
      <c r="DK434" s="10"/>
      <c r="DL434" s="10"/>
      <c r="DM434" s="10"/>
      <c r="DN434" s="10"/>
      <c r="DO434" s="10"/>
      <c r="DP434" s="10"/>
      <c r="DQ434" s="10"/>
      <c r="DR434" s="10"/>
    </row>
    <row r="435" spans="1:122" ht="15.75" customHeight="1">
      <c r="A435" s="300"/>
      <c r="B435" s="300"/>
      <c r="C435" s="300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97"/>
      <c r="DH435" s="197"/>
      <c r="DI435" s="197"/>
      <c r="DJ435" s="10"/>
      <c r="DK435" s="10"/>
      <c r="DL435" s="10"/>
      <c r="DM435" s="10"/>
      <c r="DN435" s="10"/>
      <c r="DO435" s="10"/>
      <c r="DP435" s="10"/>
      <c r="DQ435" s="10"/>
      <c r="DR435" s="10"/>
    </row>
    <row r="436" spans="1:122" ht="15.75" customHeight="1">
      <c r="A436" s="300"/>
      <c r="B436" s="300"/>
      <c r="C436" s="300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97"/>
      <c r="DH436" s="197"/>
      <c r="DI436" s="197"/>
      <c r="DJ436" s="10"/>
      <c r="DK436" s="10"/>
      <c r="DL436" s="10"/>
      <c r="DM436" s="10"/>
      <c r="DN436" s="10"/>
      <c r="DO436" s="10"/>
      <c r="DP436" s="10"/>
      <c r="DQ436" s="10"/>
      <c r="DR436" s="10"/>
    </row>
    <row r="437" spans="1:122" ht="15.75" customHeight="1">
      <c r="A437" s="300"/>
      <c r="B437" s="300"/>
      <c r="C437" s="300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97"/>
      <c r="DH437" s="197"/>
      <c r="DI437" s="197"/>
      <c r="DJ437" s="10"/>
      <c r="DK437" s="10"/>
      <c r="DL437" s="10"/>
      <c r="DM437" s="10"/>
      <c r="DN437" s="10"/>
      <c r="DO437" s="10"/>
      <c r="DP437" s="10"/>
      <c r="DQ437" s="10"/>
      <c r="DR437" s="10"/>
    </row>
    <row r="438" spans="1:122" ht="15.75" customHeight="1">
      <c r="A438" s="300"/>
      <c r="B438" s="300"/>
      <c r="C438" s="300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97"/>
      <c r="DH438" s="197"/>
      <c r="DI438" s="197"/>
      <c r="DJ438" s="10"/>
      <c r="DK438" s="10"/>
      <c r="DL438" s="10"/>
      <c r="DM438" s="10"/>
      <c r="DN438" s="10"/>
      <c r="DO438" s="10"/>
      <c r="DP438" s="10"/>
      <c r="DQ438" s="10"/>
      <c r="DR438" s="10"/>
    </row>
    <row r="439" spans="1:122" ht="15.75" customHeight="1">
      <c r="A439" s="300"/>
      <c r="B439" s="300"/>
      <c r="C439" s="300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97"/>
      <c r="DH439" s="197"/>
      <c r="DI439" s="197"/>
      <c r="DJ439" s="10"/>
      <c r="DK439" s="10"/>
      <c r="DL439" s="10"/>
      <c r="DM439" s="10"/>
      <c r="DN439" s="10"/>
      <c r="DO439" s="10"/>
      <c r="DP439" s="10"/>
      <c r="DQ439" s="10"/>
      <c r="DR439" s="10"/>
    </row>
    <row r="440" spans="1:122" ht="15.75" customHeight="1">
      <c r="A440" s="300"/>
      <c r="B440" s="300"/>
      <c r="C440" s="300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97"/>
      <c r="DH440" s="197"/>
      <c r="DI440" s="197"/>
      <c r="DJ440" s="10"/>
      <c r="DK440" s="10"/>
      <c r="DL440" s="10"/>
      <c r="DM440" s="10"/>
      <c r="DN440" s="10"/>
      <c r="DO440" s="10"/>
      <c r="DP440" s="10"/>
      <c r="DQ440" s="10"/>
      <c r="DR440" s="10"/>
    </row>
    <row r="441" spans="1:122" ht="15.75" customHeight="1">
      <c r="A441" s="300"/>
      <c r="B441" s="300"/>
      <c r="C441" s="300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97"/>
      <c r="DH441" s="197"/>
      <c r="DI441" s="197"/>
      <c r="DJ441" s="10"/>
      <c r="DK441" s="10"/>
      <c r="DL441" s="10"/>
      <c r="DM441" s="10"/>
      <c r="DN441" s="10"/>
      <c r="DO441" s="10"/>
      <c r="DP441" s="10"/>
      <c r="DQ441" s="10"/>
      <c r="DR441" s="10"/>
    </row>
    <row r="442" spans="1:122" ht="15.75" customHeight="1">
      <c r="A442" s="300"/>
      <c r="B442" s="300"/>
      <c r="C442" s="300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97"/>
      <c r="DH442" s="197"/>
      <c r="DI442" s="197"/>
      <c r="DJ442" s="10"/>
      <c r="DK442" s="10"/>
      <c r="DL442" s="10"/>
      <c r="DM442" s="10"/>
      <c r="DN442" s="10"/>
      <c r="DO442" s="10"/>
      <c r="DP442" s="10"/>
      <c r="DQ442" s="10"/>
      <c r="DR442" s="10"/>
    </row>
    <row r="443" spans="1:122" ht="15.75" customHeight="1">
      <c r="A443" s="300"/>
      <c r="B443" s="300"/>
      <c r="C443" s="300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97"/>
      <c r="DH443" s="197"/>
      <c r="DI443" s="197"/>
      <c r="DJ443" s="10"/>
      <c r="DK443" s="10"/>
      <c r="DL443" s="10"/>
      <c r="DM443" s="10"/>
      <c r="DN443" s="10"/>
      <c r="DO443" s="10"/>
      <c r="DP443" s="10"/>
      <c r="DQ443" s="10"/>
      <c r="DR443" s="10"/>
    </row>
    <row r="444" spans="1:122" ht="15.75" customHeight="1">
      <c r="A444" s="300"/>
      <c r="B444" s="300"/>
      <c r="C444" s="300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97"/>
      <c r="DH444" s="197"/>
      <c r="DI444" s="197"/>
      <c r="DJ444" s="10"/>
      <c r="DK444" s="10"/>
      <c r="DL444" s="10"/>
      <c r="DM444" s="10"/>
      <c r="DN444" s="10"/>
      <c r="DO444" s="10"/>
      <c r="DP444" s="10"/>
      <c r="DQ444" s="10"/>
      <c r="DR444" s="10"/>
    </row>
    <row r="445" spans="1:122" ht="15.75" customHeight="1">
      <c r="A445" s="300"/>
      <c r="B445" s="300"/>
      <c r="C445" s="300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97"/>
      <c r="DH445" s="197"/>
      <c r="DI445" s="197"/>
      <c r="DJ445" s="10"/>
      <c r="DK445" s="10"/>
      <c r="DL445" s="10"/>
      <c r="DM445" s="10"/>
      <c r="DN445" s="10"/>
      <c r="DO445" s="10"/>
      <c r="DP445" s="10"/>
      <c r="DQ445" s="10"/>
      <c r="DR445" s="10"/>
    </row>
    <row r="446" spans="1:122" ht="15.75" customHeight="1">
      <c r="A446" s="300"/>
      <c r="B446" s="300"/>
      <c r="C446" s="300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97"/>
      <c r="DH446" s="197"/>
      <c r="DI446" s="197"/>
      <c r="DJ446" s="10"/>
      <c r="DK446" s="10"/>
      <c r="DL446" s="10"/>
      <c r="DM446" s="10"/>
      <c r="DN446" s="10"/>
      <c r="DO446" s="10"/>
      <c r="DP446" s="10"/>
      <c r="DQ446" s="10"/>
      <c r="DR446" s="10"/>
    </row>
    <row r="447" spans="1:122" ht="15.75" customHeight="1">
      <c r="A447" s="300"/>
      <c r="B447" s="300"/>
      <c r="C447" s="300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97"/>
      <c r="DH447" s="197"/>
      <c r="DI447" s="197"/>
      <c r="DJ447" s="10"/>
      <c r="DK447" s="10"/>
      <c r="DL447" s="10"/>
      <c r="DM447" s="10"/>
      <c r="DN447" s="10"/>
      <c r="DO447" s="10"/>
      <c r="DP447" s="10"/>
      <c r="DQ447" s="10"/>
      <c r="DR447" s="10"/>
    </row>
    <row r="448" spans="1:122" ht="15.75" customHeight="1">
      <c r="A448" s="300"/>
      <c r="B448" s="300"/>
      <c r="C448" s="300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97"/>
      <c r="DH448" s="197"/>
      <c r="DI448" s="197"/>
      <c r="DJ448" s="10"/>
      <c r="DK448" s="10"/>
      <c r="DL448" s="10"/>
      <c r="DM448" s="10"/>
      <c r="DN448" s="10"/>
      <c r="DO448" s="10"/>
      <c r="DP448" s="10"/>
      <c r="DQ448" s="10"/>
      <c r="DR448" s="10"/>
    </row>
    <row r="449" spans="1:122" ht="15.75" customHeight="1">
      <c r="A449" s="300"/>
      <c r="B449" s="300"/>
      <c r="C449" s="300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97"/>
      <c r="DH449" s="197"/>
      <c r="DI449" s="197"/>
      <c r="DJ449" s="10"/>
      <c r="DK449" s="10"/>
      <c r="DL449" s="10"/>
      <c r="DM449" s="10"/>
      <c r="DN449" s="10"/>
      <c r="DO449" s="10"/>
      <c r="DP449" s="10"/>
      <c r="DQ449" s="10"/>
      <c r="DR449" s="10"/>
    </row>
    <row r="450" spans="1:122" ht="15.75" customHeight="1">
      <c r="A450" s="300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97"/>
      <c r="DH450" s="197"/>
      <c r="DI450" s="197"/>
      <c r="DJ450" s="10"/>
      <c r="DK450" s="10"/>
      <c r="DL450" s="10"/>
      <c r="DM450" s="10"/>
      <c r="DN450" s="10"/>
      <c r="DO450" s="10"/>
      <c r="DP450" s="10"/>
      <c r="DQ450" s="10"/>
      <c r="DR450" s="10"/>
    </row>
    <row r="451" spans="1:122" ht="15.75" customHeight="1">
      <c r="A451" s="300"/>
      <c r="B451" s="300"/>
      <c r="C451" s="300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97"/>
      <c r="DH451" s="197"/>
      <c r="DI451" s="197"/>
      <c r="DJ451" s="10"/>
      <c r="DK451" s="10"/>
      <c r="DL451" s="10"/>
      <c r="DM451" s="10"/>
      <c r="DN451" s="10"/>
      <c r="DO451" s="10"/>
      <c r="DP451" s="10"/>
      <c r="DQ451" s="10"/>
      <c r="DR451" s="10"/>
    </row>
    <row r="452" spans="1:122" ht="15.75" customHeight="1">
      <c r="A452" s="300"/>
      <c r="B452" s="300"/>
      <c r="C452" s="300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97"/>
      <c r="DH452" s="197"/>
      <c r="DI452" s="197"/>
      <c r="DJ452" s="10"/>
      <c r="DK452" s="10"/>
      <c r="DL452" s="10"/>
      <c r="DM452" s="10"/>
      <c r="DN452" s="10"/>
      <c r="DO452" s="10"/>
      <c r="DP452" s="10"/>
      <c r="DQ452" s="10"/>
      <c r="DR452" s="10"/>
    </row>
    <row r="453" spans="1:122" ht="15.75" customHeight="1">
      <c r="A453" s="300"/>
      <c r="B453" s="300"/>
      <c r="C453" s="300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97"/>
      <c r="DH453" s="197"/>
      <c r="DI453" s="197"/>
      <c r="DJ453" s="10"/>
      <c r="DK453" s="10"/>
      <c r="DL453" s="10"/>
      <c r="DM453" s="10"/>
      <c r="DN453" s="10"/>
      <c r="DO453" s="10"/>
      <c r="DP453" s="10"/>
      <c r="DQ453" s="10"/>
      <c r="DR453" s="10"/>
    </row>
    <row r="454" spans="1:122" ht="15.75" customHeight="1">
      <c r="A454" s="300"/>
      <c r="B454" s="300"/>
      <c r="C454" s="300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97"/>
      <c r="DH454" s="197"/>
      <c r="DI454" s="197"/>
      <c r="DJ454" s="10"/>
      <c r="DK454" s="10"/>
      <c r="DL454" s="10"/>
      <c r="DM454" s="10"/>
      <c r="DN454" s="10"/>
      <c r="DO454" s="10"/>
      <c r="DP454" s="10"/>
      <c r="DQ454" s="10"/>
      <c r="DR454" s="10"/>
    </row>
    <row r="455" spans="1:122" ht="15.75" customHeight="1">
      <c r="A455" s="300"/>
      <c r="B455" s="300"/>
      <c r="C455" s="300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97"/>
      <c r="DH455" s="197"/>
      <c r="DI455" s="197"/>
      <c r="DJ455" s="10"/>
      <c r="DK455" s="10"/>
      <c r="DL455" s="10"/>
      <c r="DM455" s="10"/>
      <c r="DN455" s="10"/>
      <c r="DO455" s="10"/>
      <c r="DP455" s="10"/>
      <c r="DQ455" s="10"/>
      <c r="DR455" s="10"/>
    </row>
    <row r="456" spans="1:122" ht="15.75" customHeight="1">
      <c r="A456" s="300"/>
      <c r="B456" s="300"/>
      <c r="C456" s="300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97"/>
      <c r="DH456" s="197"/>
      <c r="DI456" s="197"/>
      <c r="DJ456" s="10"/>
      <c r="DK456" s="10"/>
      <c r="DL456" s="10"/>
      <c r="DM456" s="10"/>
      <c r="DN456" s="10"/>
      <c r="DO456" s="10"/>
      <c r="DP456" s="10"/>
      <c r="DQ456" s="10"/>
      <c r="DR456" s="10"/>
    </row>
    <row r="457" spans="1:122" ht="15.75" customHeight="1">
      <c r="A457" s="300"/>
      <c r="B457" s="300"/>
      <c r="C457" s="300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97"/>
      <c r="DH457" s="197"/>
      <c r="DI457" s="197"/>
      <c r="DJ457" s="10"/>
      <c r="DK457" s="10"/>
      <c r="DL457" s="10"/>
      <c r="DM457" s="10"/>
      <c r="DN457" s="10"/>
      <c r="DO457" s="10"/>
      <c r="DP457" s="10"/>
      <c r="DQ457" s="10"/>
      <c r="DR457" s="10"/>
    </row>
    <row r="458" spans="1:122" ht="15.75" customHeight="1">
      <c r="A458" s="300"/>
      <c r="B458" s="300"/>
      <c r="C458" s="300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97"/>
      <c r="DH458" s="197"/>
      <c r="DI458" s="197"/>
      <c r="DJ458" s="10"/>
      <c r="DK458" s="10"/>
      <c r="DL458" s="10"/>
      <c r="DM458" s="10"/>
      <c r="DN458" s="10"/>
      <c r="DO458" s="10"/>
      <c r="DP458" s="10"/>
      <c r="DQ458" s="10"/>
      <c r="DR458" s="10"/>
    </row>
    <row r="459" spans="1:122" ht="15.75" customHeight="1">
      <c r="A459" s="300"/>
      <c r="B459" s="300"/>
      <c r="C459" s="300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97"/>
      <c r="DH459" s="197"/>
      <c r="DI459" s="197"/>
      <c r="DJ459" s="10"/>
      <c r="DK459" s="10"/>
      <c r="DL459" s="10"/>
      <c r="DM459" s="10"/>
      <c r="DN459" s="10"/>
      <c r="DO459" s="10"/>
      <c r="DP459" s="10"/>
      <c r="DQ459" s="10"/>
      <c r="DR459" s="10"/>
    </row>
    <row r="460" spans="1:122" ht="15.75" customHeight="1">
      <c r="A460" s="300"/>
      <c r="B460" s="300"/>
      <c r="C460" s="300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97"/>
      <c r="DH460" s="197"/>
      <c r="DI460" s="197"/>
      <c r="DJ460" s="10"/>
      <c r="DK460" s="10"/>
      <c r="DL460" s="10"/>
      <c r="DM460" s="10"/>
      <c r="DN460" s="10"/>
      <c r="DO460" s="10"/>
      <c r="DP460" s="10"/>
      <c r="DQ460" s="10"/>
      <c r="DR460" s="10"/>
    </row>
    <row r="461" spans="1:122" ht="15.75" customHeight="1">
      <c r="A461" s="300"/>
      <c r="B461" s="300"/>
      <c r="C461" s="300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97"/>
      <c r="DH461" s="197"/>
      <c r="DI461" s="197"/>
      <c r="DJ461" s="10"/>
      <c r="DK461" s="10"/>
      <c r="DL461" s="10"/>
      <c r="DM461" s="10"/>
      <c r="DN461" s="10"/>
      <c r="DO461" s="10"/>
      <c r="DP461" s="10"/>
      <c r="DQ461" s="10"/>
      <c r="DR461" s="10"/>
    </row>
    <row r="462" spans="1:122" ht="15.75" customHeight="1">
      <c r="A462" s="300"/>
      <c r="B462" s="300"/>
      <c r="C462" s="300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97"/>
      <c r="DH462" s="197"/>
      <c r="DI462" s="197"/>
      <c r="DJ462" s="10"/>
      <c r="DK462" s="10"/>
      <c r="DL462" s="10"/>
      <c r="DM462" s="10"/>
      <c r="DN462" s="10"/>
      <c r="DO462" s="10"/>
      <c r="DP462" s="10"/>
      <c r="DQ462" s="10"/>
      <c r="DR462" s="10"/>
    </row>
    <row r="463" spans="1:122" ht="15.75" customHeight="1">
      <c r="A463" s="300"/>
      <c r="B463" s="300"/>
      <c r="C463" s="300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97"/>
      <c r="DH463" s="197"/>
      <c r="DI463" s="197"/>
      <c r="DJ463" s="10"/>
      <c r="DK463" s="10"/>
      <c r="DL463" s="10"/>
      <c r="DM463" s="10"/>
      <c r="DN463" s="10"/>
      <c r="DO463" s="10"/>
      <c r="DP463" s="10"/>
      <c r="DQ463" s="10"/>
      <c r="DR463" s="10"/>
    </row>
    <row r="464" spans="1:122" ht="15.75" customHeight="1">
      <c r="A464" s="300"/>
      <c r="B464" s="300"/>
      <c r="C464" s="300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97"/>
      <c r="DH464" s="197"/>
      <c r="DI464" s="197"/>
      <c r="DJ464" s="10"/>
      <c r="DK464" s="10"/>
      <c r="DL464" s="10"/>
      <c r="DM464" s="10"/>
      <c r="DN464" s="10"/>
      <c r="DO464" s="10"/>
      <c r="DP464" s="10"/>
      <c r="DQ464" s="10"/>
      <c r="DR464" s="10"/>
    </row>
    <row r="465" spans="1:122" ht="15.75" customHeight="1">
      <c r="A465" s="300"/>
      <c r="B465" s="300"/>
      <c r="C465" s="300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97"/>
      <c r="DH465" s="197"/>
      <c r="DI465" s="197"/>
      <c r="DJ465" s="10"/>
      <c r="DK465" s="10"/>
      <c r="DL465" s="10"/>
      <c r="DM465" s="10"/>
      <c r="DN465" s="10"/>
      <c r="DO465" s="10"/>
      <c r="DP465" s="10"/>
      <c r="DQ465" s="10"/>
      <c r="DR465" s="10"/>
    </row>
    <row r="466" spans="1:122" ht="15.75" customHeight="1">
      <c r="A466" s="300"/>
      <c r="B466" s="300"/>
      <c r="C466" s="300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97"/>
      <c r="DH466" s="197"/>
      <c r="DI466" s="197"/>
      <c r="DJ466" s="10"/>
      <c r="DK466" s="10"/>
      <c r="DL466" s="10"/>
      <c r="DM466" s="10"/>
      <c r="DN466" s="10"/>
      <c r="DO466" s="10"/>
      <c r="DP466" s="10"/>
      <c r="DQ466" s="10"/>
      <c r="DR466" s="10"/>
    </row>
    <row r="467" spans="1:122" ht="15.75" customHeight="1">
      <c r="A467" s="300"/>
      <c r="B467" s="300"/>
      <c r="C467" s="300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97"/>
      <c r="DH467" s="197"/>
      <c r="DI467" s="197"/>
      <c r="DJ467" s="10"/>
      <c r="DK467" s="10"/>
      <c r="DL467" s="10"/>
      <c r="DM467" s="10"/>
      <c r="DN467" s="10"/>
      <c r="DO467" s="10"/>
      <c r="DP467" s="10"/>
      <c r="DQ467" s="10"/>
      <c r="DR467" s="10"/>
    </row>
    <row r="468" spans="1:122" ht="15.75" customHeight="1">
      <c r="A468" s="300"/>
      <c r="B468" s="300"/>
      <c r="C468" s="300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97"/>
      <c r="DH468" s="197"/>
      <c r="DI468" s="197"/>
      <c r="DJ468" s="10"/>
      <c r="DK468" s="10"/>
      <c r="DL468" s="10"/>
      <c r="DM468" s="10"/>
      <c r="DN468" s="10"/>
      <c r="DO468" s="10"/>
      <c r="DP468" s="10"/>
      <c r="DQ468" s="10"/>
      <c r="DR468" s="10"/>
    </row>
    <row r="469" spans="1:122" ht="15.75" customHeight="1">
      <c r="A469" s="300"/>
      <c r="B469" s="300"/>
      <c r="C469" s="300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97"/>
      <c r="DH469" s="197"/>
      <c r="DI469" s="197"/>
      <c r="DJ469" s="10"/>
      <c r="DK469" s="10"/>
      <c r="DL469" s="10"/>
      <c r="DM469" s="10"/>
      <c r="DN469" s="10"/>
      <c r="DO469" s="10"/>
      <c r="DP469" s="10"/>
      <c r="DQ469" s="10"/>
      <c r="DR469" s="10"/>
    </row>
    <row r="470" spans="1:122" ht="15.75" customHeight="1">
      <c r="A470" s="300"/>
      <c r="B470" s="300"/>
      <c r="C470" s="300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97"/>
      <c r="DH470" s="197"/>
      <c r="DI470" s="197"/>
      <c r="DJ470" s="10"/>
      <c r="DK470" s="10"/>
      <c r="DL470" s="10"/>
      <c r="DM470" s="10"/>
      <c r="DN470" s="10"/>
      <c r="DO470" s="10"/>
      <c r="DP470" s="10"/>
      <c r="DQ470" s="10"/>
      <c r="DR470" s="10"/>
    </row>
    <row r="471" spans="1:122" ht="15.75" customHeight="1">
      <c r="A471" s="300"/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97"/>
      <c r="DH471" s="197"/>
      <c r="DI471" s="197"/>
      <c r="DJ471" s="10"/>
      <c r="DK471" s="10"/>
      <c r="DL471" s="10"/>
      <c r="DM471" s="10"/>
      <c r="DN471" s="10"/>
      <c r="DO471" s="10"/>
      <c r="DP471" s="10"/>
      <c r="DQ471" s="10"/>
      <c r="DR471" s="10"/>
    </row>
    <row r="472" spans="1:122" ht="15.75" customHeight="1">
      <c r="A472" s="300"/>
      <c r="B472" s="300"/>
      <c r="C472" s="300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97"/>
      <c r="DH472" s="197"/>
      <c r="DI472" s="197"/>
      <c r="DJ472" s="10"/>
      <c r="DK472" s="10"/>
      <c r="DL472" s="10"/>
      <c r="DM472" s="10"/>
      <c r="DN472" s="10"/>
      <c r="DO472" s="10"/>
      <c r="DP472" s="10"/>
      <c r="DQ472" s="10"/>
      <c r="DR472" s="10"/>
    </row>
    <row r="473" spans="1:122" ht="15.75" customHeight="1">
      <c r="A473" s="300"/>
      <c r="B473" s="300"/>
      <c r="C473" s="300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97"/>
      <c r="DH473" s="197"/>
      <c r="DI473" s="197"/>
      <c r="DJ473" s="10"/>
      <c r="DK473" s="10"/>
      <c r="DL473" s="10"/>
      <c r="DM473" s="10"/>
      <c r="DN473" s="10"/>
      <c r="DO473" s="10"/>
      <c r="DP473" s="10"/>
      <c r="DQ473" s="10"/>
      <c r="DR473" s="10"/>
    </row>
    <row r="474" spans="1:122" ht="15.75" customHeight="1">
      <c r="A474" s="300"/>
      <c r="B474" s="300"/>
      <c r="C474" s="300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97"/>
      <c r="DH474" s="197"/>
      <c r="DI474" s="197"/>
      <c r="DJ474" s="10"/>
      <c r="DK474" s="10"/>
      <c r="DL474" s="10"/>
      <c r="DM474" s="10"/>
      <c r="DN474" s="10"/>
      <c r="DO474" s="10"/>
      <c r="DP474" s="10"/>
      <c r="DQ474" s="10"/>
      <c r="DR474" s="10"/>
    </row>
    <row r="475" spans="1:122" ht="15.75" customHeight="1">
      <c r="A475" s="300"/>
      <c r="B475" s="300"/>
      <c r="C475" s="300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97"/>
      <c r="DH475" s="197"/>
      <c r="DI475" s="197"/>
      <c r="DJ475" s="10"/>
      <c r="DK475" s="10"/>
      <c r="DL475" s="10"/>
      <c r="DM475" s="10"/>
      <c r="DN475" s="10"/>
      <c r="DO475" s="10"/>
      <c r="DP475" s="10"/>
      <c r="DQ475" s="10"/>
      <c r="DR475" s="10"/>
    </row>
    <row r="476" spans="1:122" ht="15.75" customHeight="1">
      <c r="A476" s="300"/>
      <c r="B476" s="300"/>
      <c r="C476" s="300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97"/>
      <c r="DH476" s="197"/>
      <c r="DI476" s="197"/>
      <c r="DJ476" s="10"/>
      <c r="DK476" s="10"/>
      <c r="DL476" s="10"/>
      <c r="DM476" s="10"/>
      <c r="DN476" s="10"/>
      <c r="DO476" s="10"/>
      <c r="DP476" s="10"/>
      <c r="DQ476" s="10"/>
      <c r="DR476" s="10"/>
    </row>
    <row r="477" spans="1:122" ht="15.75" customHeight="1">
      <c r="A477" s="300"/>
      <c r="B477" s="300"/>
      <c r="C477" s="300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97"/>
      <c r="DH477" s="197"/>
      <c r="DI477" s="197"/>
      <c r="DJ477" s="10"/>
      <c r="DK477" s="10"/>
      <c r="DL477" s="10"/>
      <c r="DM477" s="10"/>
      <c r="DN477" s="10"/>
      <c r="DO477" s="10"/>
      <c r="DP477" s="10"/>
      <c r="DQ477" s="10"/>
      <c r="DR477" s="10"/>
    </row>
    <row r="478" spans="1:122" ht="15.75" customHeight="1">
      <c r="A478" s="300"/>
      <c r="B478" s="300"/>
      <c r="C478" s="300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97"/>
      <c r="DH478" s="197"/>
      <c r="DI478" s="197"/>
      <c r="DJ478" s="10"/>
      <c r="DK478" s="10"/>
      <c r="DL478" s="10"/>
      <c r="DM478" s="10"/>
      <c r="DN478" s="10"/>
      <c r="DO478" s="10"/>
      <c r="DP478" s="10"/>
      <c r="DQ478" s="10"/>
      <c r="DR478" s="10"/>
    </row>
    <row r="479" spans="1:122" ht="15.75" customHeight="1">
      <c r="A479" s="300"/>
      <c r="B479" s="300"/>
      <c r="C479" s="300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97"/>
      <c r="DH479" s="197"/>
      <c r="DI479" s="197"/>
      <c r="DJ479" s="10"/>
      <c r="DK479" s="10"/>
      <c r="DL479" s="10"/>
      <c r="DM479" s="10"/>
      <c r="DN479" s="10"/>
      <c r="DO479" s="10"/>
      <c r="DP479" s="10"/>
      <c r="DQ479" s="10"/>
      <c r="DR479" s="10"/>
    </row>
    <row r="480" spans="1:122" ht="15.75" customHeight="1">
      <c r="A480" s="300"/>
      <c r="B480" s="300"/>
      <c r="C480" s="300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97"/>
      <c r="DH480" s="197"/>
      <c r="DI480" s="197"/>
      <c r="DJ480" s="10"/>
      <c r="DK480" s="10"/>
      <c r="DL480" s="10"/>
      <c r="DM480" s="10"/>
      <c r="DN480" s="10"/>
      <c r="DO480" s="10"/>
      <c r="DP480" s="10"/>
      <c r="DQ480" s="10"/>
      <c r="DR480" s="10"/>
    </row>
    <row r="481" spans="1:122" ht="15.75" customHeight="1">
      <c r="A481" s="300"/>
      <c r="B481" s="300"/>
      <c r="C481" s="300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97"/>
      <c r="DH481" s="197"/>
      <c r="DI481" s="197"/>
      <c r="DJ481" s="10"/>
      <c r="DK481" s="10"/>
      <c r="DL481" s="10"/>
      <c r="DM481" s="10"/>
      <c r="DN481" s="10"/>
      <c r="DO481" s="10"/>
      <c r="DP481" s="10"/>
      <c r="DQ481" s="10"/>
      <c r="DR481" s="10"/>
    </row>
    <row r="482" spans="1:122" ht="15.75" customHeight="1">
      <c r="A482" s="300"/>
      <c r="B482" s="300"/>
      <c r="C482" s="300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97"/>
      <c r="DH482" s="197"/>
      <c r="DI482" s="197"/>
      <c r="DJ482" s="10"/>
      <c r="DK482" s="10"/>
      <c r="DL482" s="10"/>
      <c r="DM482" s="10"/>
      <c r="DN482" s="10"/>
      <c r="DO482" s="10"/>
      <c r="DP482" s="10"/>
      <c r="DQ482" s="10"/>
      <c r="DR482" s="10"/>
    </row>
    <row r="483" spans="1:122" ht="15.75" customHeight="1">
      <c r="A483" s="300"/>
      <c r="B483" s="300"/>
      <c r="C483" s="300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97"/>
      <c r="DH483" s="197"/>
      <c r="DI483" s="197"/>
      <c r="DJ483" s="10"/>
      <c r="DK483" s="10"/>
      <c r="DL483" s="10"/>
      <c r="DM483" s="10"/>
      <c r="DN483" s="10"/>
      <c r="DO483" s="10"/>
      <c r="DP483" s="10"/>
      <c r="DQ483" s="10"/>
      <c r="DR483" s="10"/>
    </row>
    <row r="484" spans="1:122" ht="15.75" customHeight="1">
      <c r="A484" s="300"/>
      <c r="B484" s="300"/>
      <c r="C484" s="300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97"/>
      <c r="DH484" s="197"/>
      <c r="DI484" s="197"/>
      <c r="DJ484" s="10"/>
      <c r="DK484" s="10"/>
      <c r="DL484" s="10"/>
      <c r="DM484" s="10"/>
      <c r="DN484" s="10"/>
      <c r="DO484" s="10"/>
      <c r="DP484" s="10"/>
      <c r="DQ484" s="10"/>
      <c r="DR484" s="10"/>
    </row>
    <row r="485" spans="1:122" ht="15.75" customHeight="1">
      <c r="A485" s="300"/>
      <c r="B485" s="300"/>
      <c r="C485" s="300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97"/>
      <c r="DH485" s="197"/>
      <c r="DI485" s="197"/>
      <c r="DJ485" s="10"/>
      <c r="DK485" s="10"/>
      <c r="DL485" s="10"/>
      <c r="DM485" s="10"/>
      <c r="DN485" s="10"/>
      <c r="DO485" s="10"/>
      <c r="DP485" s="10"/>
      <c r="DQ485" s="10"/>
      <c r="DR485" s="10"/>
    </row>
    <row r="486" spans="1:122" ht="15.75" customHeight="1">
      <c r="A486" s="300"/>
      <c r="B486" s="300"/>
      <c r="C486" s="300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97"/>
      <c r="DH486" s="197"/>
      <c r="DI486" s="197"/>
      <c r="DJ486" s="10"/>
      <c r="DK486" s="10"/>
      <c r="DL486" s="10"/>
      <c r="DM486" s="10"/>
      <c r="DN486" s="10"/>
      <c r="DO486" s="10"/>
      <c r="DP486" s="10"/>
      <c r="DQ486" s="10"/>
      <c r="DR486" s="10"/>
    </row>
    <row r="487" spans="1:122" ht="15.75" customHeight="1">
      <c r="A487" s="300"/>
      <c r="B487" s="300"/>
      <c r="C487" s="300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97"/>
      <c r="DH487" s="197"/>
      <c r="DI487" s="197"/>
      <c r="DJ487" s="10"/>
      <c r="DK487" s="10"/>
      <c r="DL487" s="10"/>
      <c r="DM487" s="10"/>
      <c r="DN487" s="10"/>
      <c r="DO487" s="10"/>
      <c r="DP487" s="10"/>
      <c r="DQ487" s="10"/>
      <c r="DR487" s="10"/>
    </row>
    <row r="488" spans="1:122" ht="15.75" customHeight="1">
      <c r="A488" s="300"/>
      <c r="B488" s="300"/>
      <c r="C488" s="300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97"/>
      <c r="DH488" s="197"/>
      <c r="DI488" s="197"/>
      <c r="DJ488" s="10"/>
      <c r="DK488" s="10"/>
      <c r="DL488" s="10"/>
      <c r="DM488" s="10"/>
      <c r="DN488" s="10"/>
      <c r="DO488" s="10"/>
      <c r="DP488" s="10"/>
      <c r="DQ488" s="10"/>
      <c r="DR488" s="10"/>
    </row>
    <row r="489" spans="1:122" ht="15.75" customHeight="1">
      <c r="A489" s="300"/>
      <c r="B489" s="300"/>
      <c r="C489" s="300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97"/>
      <c r="DH489" s="197"/>
      <c r="DI489" s="197"/>
      <c r="DJ489" s="10"/>
      <c r="DK489" s="10"/>
      <c r="DL489" s="10"/>
      <c r="DM489" s="10"/>
      <c r="DN489" s="10"/>
      <c r="DO489" s="10"/>
      <c r="DP489" s="10"/>
      <c r="DQ489" s="10"/>
      <c r="DR489" s="10"/>
    </row>
    <row r="490" spans="1:122" ht="15.75" customHeight="1">
      <c r="A490" s="300"/>
      <c r="B490" s="300"/>
      <c r="C490" s="300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97"/>
      <c r="DH490" s="197"/>
      <c r="DI490" s="197"/>
      <c r="DJ490" s="10"/>
      <c r="DK490" s="10"/>
      <c r="DL490" s="10"/>
      <c r="DM490" s="10"/>
      <c r="DN490" s="10"/>
      <c r="DO490" s="10"/>
      <c r="DP490" s="10"/>
      <c r="DQ490" s="10"/>
      <c r="DR490" s="10"/>
    </row>
    <row r="491" spans="1:122" ht="15.75" customHeight="1">
      <c r="A491" s="300"/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97"/>
      <c r="DH491" s="197"/>
      <c r="DI491" s="197"/>
      <c r="DJ491" s="10"/>
      <c r="DK491" s="10"/>
      <c r="DL491" s="10"/>
      <c r="DM491" s="10"/>
      <c r="DN491" s="10"/>
      <c r="DO491" s="10"/>
      <c r="DP491" s="10"/>
      <c r="DQ491" s="10"/>
      <c r="DR491" s="10"/>
    </row>
    <row r="492" spans="1:122" ht="15.75" customHeight="1">
      <c r="A492" s="300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97"/>
      <c r="DH492" s="197"/>
      <c r="DI492" s="197"/>
      <c r="DJ492" s="10"/>
      <c r="DK492" s="10"/>
      <c r="DL492" s="10"/>
      <c r="DM492" s="10"/>
      <c r="DN492" s="10"/>
      <c r="DO492" s="10"/>
      <c r="DP492" s="10"/>
      <c r="DQ492" s="10"/>
      <c r="DR492" s="10"/>
    </row>
    <row r="493" spans="1:122" ht="15.75" customHeight="1">
      <c r="A493" s="300"/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97"/>
      <c r="DH493" s="197"/>
      <c r="DI493" s="197"/>
      <c r="DJ493" s="10"/>
      <c r="DK493" s="10"/>
      <c r="DL493" s="10"/>
      <c r="DM493" s="10"/>
      <c r="DN493" s="10"/>
      <c r="DO493" s="10"/>
      <c r="DP493" s="10"/>
      <c r="DQ493" s="10"/>
      <c r="DR493" s="10"/>
    </row>
    <row r="494" spans="1:122" ht="15.75" customHeight="1">
      <c r="A494" s="300"/>
      <c r="B494" s="300"/>
      <c r="C494" s="300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97"/>
      <c r="DH494" s="197"/>
      <c r="DI494" s="197"/>
      <c r="DJ494" s="10"/>
      <c r="DK494" s="10"/>
      <c r="DL494" s="10"/>
      <c r="DM494" s="10"/>
      <c r="DN494" s="10"/>
      <c r="DO494" s="10"/>
      <c r="DP494" s="10"/>
      <c r="DQ494" s="10"/>
      <c r="DR494" s="10"/>
    </row>
    <row r="495" spans="1:122" ht="15.75" customHeight="1">
      <c r="A495" s="300"/>
      <c r="B495" s="300"/>
      <c r="C495" s="300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97"/>
      <c r="DH495" s="197"/>
      <c r="DI495" s="197"/>
      <c r="DJ495" s="10"/>
      <c r="DK495" s="10"/>
      <c r="DL495" s="10"/>
      <c r="DM495" s="10"/>
      <c r="DN495" s="10"/>
      <c r="DO495" s="10"/>
      <c r="DP495" s="10"/>
      <c r="DQ495" s="10"/>
      <c r="DR495" s="10"/>
    </row>
    <row r="496" spans="1:122" ht="15.75" customHeight="1">
      <c r="A496" s="300"/>
      <c r="B496" s="300"/>
      <c r="C496" s="300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97"/>
      <c r="DH496" s="197"/>
      <c r="DI496" s="197"/>
      <c r="DJ496" s="10"/>
      <c r="DK496" s="10"/>
      <c r="DL496" s="10"/>
      <c r="DM496" s="10"/>
      <c r="DN496" s="10"/>
      <c r="DO496" s="10"/>
      <c r="DP496" s="10"/>
      <c r="DQ496" s="10"/>
      <c r="DR496" s="10"/>
    </row>
    <row r="497" spans="1:122" ht="15.75" customHeight="1">
      <c r="A497" s="300"/>
      <c r="B497" s="300"/>
      <c r="C497" s="300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97"/>
      <c r="DH497" s="197"/>
      <c r="DI497" s="197"/>
      <c r="DJ497" s="10"/>
      <c r="DK497" s="10"/>
      <c r="DL497" s="10"/>
      <c r="DM497" s="10"/>
      <c r="DN497" s="10"/>
      <c r="DO497" s="10"/>
      <c r="DP497" s="10"/>
      <c r="DQ497" s="10"/>
      <c r="DR497" s="10"/>
    </row>
    <row r="498" spans="1:122" ht="15.75" customHeight="1">
      <c r="A498" s="300"/>
      <c r="B498" s="300"/>
      <c r="C498" s="300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97"/>
      <c r="DH498" s="197"/>
      <c r="DI498" s="197"/>
      <c r="DJ498" s="10"/>
      <c r="DK498" s="10"/>
      <c r="DL498" s="10"/>
      <c r="DM498" s="10"/>
      <c r="DN498" s="10"/>
      <c r="DO498" s="10"/>
      <c r="DP498" s="10"/>
      <c r="DQ498" s="10"/>
      <c r="DR498" s="10"/>
    </row>
    <row r="499" spans="1:122" ht="15.75" customHeight="1">
      <c r="A499" s="300"/>
      <c r="B499" s="300"/>
      <c r="C499" s="300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97"/>
      <c r="DH499" s="197"/>
      <c r="DI499" s="197"/>
      <c r="DJ499" s="10"/>
      <c r="DK499" s="10"/>
      <c r="DL499" s="10"/>
      <c r="DM499" s="10"/>
      <c r="DN499" s="10"/>
      <c r="DO499" s="10"/>
      <c r="DP499" s="10"/>
      <c r="DQ499" s="10"/>
      <c r="DR499" s="10"/>
    </row>
    <row r="500" spans="1:122" ht="15.75" customHeight="1">
      <c r="A500" s="300"/>
      <c r="B500" s="300"/>
      <c r="C500" s="300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97"/>
      <c r="DH500" s="197"/>
      <c r="DI500" s="197"/>
      <c r="DJ500" s="10"/>
      <c r="DK500" s="10"/>
      <c r="DL500" s="10"/>
      <c r="DM500" s="10"/>
      <c r="DN500" s="10"/>
      <c r="DO500" s="10"/>
      <c r="DP500" s="10"/>
      <c r="DQ500" s="10"/>
      <c r="DR500" s="10"/>
    </row>
    <row r="501" spans="1:122" ht="15.75" customHeight="1">
      <c r="A501" s="300"/>
      <c r="B501" s="300"/>
      <c r="C501" s="300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97"/>
      <c r="DH501" s="197"/>
      <c r="DI501" s="197"/>
      <c r="DJ501" s="10"/>
      <c r="DK501" s="10"/>
      <c r="DL501" s="10"/>
      <c r="DM501" s="10"/>
      <c r="DN501" s="10"/>
      <c r="DO501" s="10"/>
      <c r="DP501" s="10"/>
      <c r="DQ501" s="10"/>
      <c r="DR501" s="10"/>
    </row>
    <row r="502" spans="1:122" ht="15.75" customHeight="1">
      <c r="A502" s="300"/>
      <c r="B502" s="300"/>
      <c r="C502" s="300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97"/>
      <c r="DH502" s="197"/>
      <c r="DI502" s="197"/>
      <c r="DJ502" s="10"/>
      <c r="DK502" s="10"/>
      <c r="DL502" s="10"/>
      <c r="DM502" s="10"/>
      <c r="DN502" s="10"/>
      <c r="DO502" s="10"/>
      <c r="DP502" s="10"/>
      <c r="DQ502" s="10"/>
      <c r="DR502" s="10"/>
    </row>
    <row r="503" spans="1:122" ht="15.75" customHeight="1">
      <c r="A503" s="300"/>
      <c r="B503" s="300"/>
      <c r="C503" s="300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97"/>
      <c r="DH503" s="197"/>
      <c r="DI503" s="197"/>
      <c r="DJ503" s="10"/>
      <c r="DK503" s="10"/>
      <c r="DL503" s="10"/>
      <c r="DM503" s="10"/>
      <c r="DN503" s="10"/>
      <c r="DO503" s="10"/>
      <c r="DP503" s="10"/>
      <c r="DQ503" s="10"/>
      <c r="DR503" s="10"/>
    </row>
    <row r="504" spans="1:122" ht="15.75" customHeight="1">
      <c r="A504" s="300"/>
      <c r="B504" s="300"/>
      <c r="C504" s="300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97"/>
      <c r="DH504" s="197"/>
      <c r="DI504" s="197"/>
      <c r="DJ504" s="10"/>
      <c r="DK504" s="10"/>
      <c r="DL504" s="10"/>
      <c r="DM504" s="10"/>
      <c r="DN504" s="10"/>
      <c r="DO504" s="10"/>
      <c r="DP504" s="10"/>
      <c r="DQ504" s="10"/>
      <c r="DR504" s="10"/>
    </row>
    <row r="505" spans="1:122" ht="15.75" customHeight="1">
      <c r="A505" s="300"/>
      <c r="B505" s="300"/>
      <c r="C505" s="300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97"/>
      <c r="DH505" s="197"/>
      <c r="DI505" s="197"/>
      <c r="DJ505" s="10"/>
      <c r="DK505" s="10"/>
      <c r="DL505" s="10"/>
      <c r="DM505" s="10"/>
      <c r="DN505" s="10"/>
      <c r="DO505" s="10"/>
      <c r="DP505" s="10"/>
      <c r="DQ505" s="10"/>
      <c r="DR505" s="10"/>
    </row>
    <row r="506" spans="1:122" ht="15.75" customHeight="1">
      <c r="A506" s="300"/>
      <c r="B506" s="300"/>
      <c r="C506" s="300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97"/>
      <c r="DH506" s="197"/>
      <c r="DI506" s="197"/>
      <c r="DJ506" s="10"/>
      <c r="DK506" s="10"/>
      <c r="DL506" s="10"/>
      <c r="DM506" s="10"/>
      <c r="DN506" s="10"/>
      <c r="DO506" s="10"/>
      <c r="DP506" s="10"/>
      <c r="DQ506" s="10"/>
      <c r="DR506" s="10"/>
    </row>
    <row r="507" spans="1:122" ht="15.75" customHeight="1">
      <c r="A507" s="300"/>
      <c r="B507" s="300"/>
      <c r="C507" s="300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97"/>
      <c r="DH507" s="197"/>
      <c r="DI507" s="197"/>
      <c r="DJ507" s="10"/>
      <c r="DK507" s="10"/>
      <c r="DL507" s="10"/>
      <c r="DM507" s="10"/>
      <c r="DN507" s="10"/>
      <c r="DO507" s="10"/>
      <c r="DP507" s="10"/>
      <c r="DQ507" s="10"/>
      <c r="DR507" s="10"/>
    </row>
    <row r="508" spans="1:122" ht="15.75" customHeight="1">
      <c r="A508" s="300"/>
      <c r="B508" s="300"/>
      <c r="C508" s="300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97"/>
      <c r="DH508" s="197"/>
      <c r="DI508" s="197"/>
      <c r="DJ508" s="10"/>
      <c r="DK508" s="10"/>
      <c r="DL508" s="10"/>
      <c r="DM508" s="10"/>
      <c r="DN508" s="10"/>
      <c r="DO508" s="10"/>
      <c r="DP508" s="10"/>
      <c r="DQ508" s="10"/>
      <c r="DR508" s="10"/>
    </row>
    <row r="509" spans="1:122" ht="15.75" customHeight="1">
      <c r="A509" s="300"/>
      <c r="B509" s="300"/>
      <c r="C509" s="300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97"/>
      <c r="DH509" s="197"/>
      <c r="DI509" s="197"/>
      <c r="DJ509" s="10"/>
      <c r="DK509" s="10"/>
      <c r="DL509" s="10"/>
      <c r="DM509" s="10"/>
      <c r="DN509" s="10"/>
      <c r="DO509" s="10"/>
      <c r="DP509" s="10"/>
      <c r="DQ509" s="10"/>
      <c r="DR509" s="10"/>
    </row>
    <row r="510" spans="1:122" ht="15.75" customHeight="1">
      <c r="A510" s="300"/>
      <c r="B510" s="300"/>
      <c r="C510" s="300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97"/>
      <c r="DH510" s="197"/>
      <c r="DI510" s="197"/>
      <c r="DJ510" s="10"/>
      <c r="DK510" s="10"/>
      <c r="DL510" s="10"/>
      <c r="DM510" s="10"/>
      <c r="DN510" s="10"/>
      <c r="DO510" s="10"/>
      <c r="DP510" s="10"/>
      <c r="DQ510" s="10"/>
      <c r="DR510" s="10"/>
    </row>
    <row r="511" spans="1:122" ht="15.75" customHeight="1">
      <c r="A511" s="300"/>
      <c r="B511" s="300"/>
      <c r="C511" s="300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97"/>
      <c r="DH511" s="197"/>
      <c r="DI511" s="197"/>
      <c r="DJ511" s="10"/>
      <c r="DK511" s="10"/>
      <c r="DL511" s="10"/>
      <c r="DM511" s="10"/>
      <c r="DN511" s="10"/>
      <c r="DO511" s="10"/>
      <c r="DP511" s="10"/>
      <c r="DQ511" s="10"/>
      <c r="DR511" s="10"/>
    </row>
    <row r="512" spans="1:122" ht="15.75" customHeight="1">
      <c r="A512" s="300"/>
      <c r="B512" s="300"/>
      <c r="C512" s="300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97"/>
      <c r="DH512" s="197"/>
      <c r="DI512" s="197"/>
      <c r="DJ512" s="10"/>
      <c r="DK512" s="10"/>
      <c r="DL512" s="10"/>
      <c r="DM512" s="10"/>
      <c r="DN512" s="10"/>
      <c r="DO512" s="10"/>
      <c r="DP512" s="10"/>
      <c r="DQ512" s="10"/>
      <c r="DR512" s="10"/>
    </row>
    <row r="513" spans="1:122" ht="15.75" customHeight="1">
      <c r="A513" s="300"/>
      <c r="B513" s="300"/>
      <c r="C513" s="300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97"/>
      <c r="DH513" s="197"/>
      <c r="DI513" s="197"/>
      <c r="DJ513" s="10"/>
      <c r="DK513" s="10"/>
      <c r="DL513" s="10"/>
      <c r="DM513" s="10"/>
      <c r="DN513" s="10"/>
      <c r="DO513" s="10"/>
      <c r="DP513" s="10"/>
      <c r="DQ513" s="10"/>
      <c r="DR513" s="10"/>
    </row>
    <row r="514" spans="1:122" ht="15.75" customHeight="1">
      <c r="A514" s="300"/>
      <c r="B514" s="300"/>
      <c r="C514" s="300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97"/>
      <c r="DH514" s="197"/>
      <c r="DI514" s="197"/>
      <c r="DJ514" s="10"/>
      <c r="DK514" s="10"/>
      <c r="DL514" s="10"/>
      <c r="DM514" s="10"/>
      <c r="DN514" s="10"/>
      <c r="DO514" s="10"/>
      <c r="DP514" s="10"/>
      <c r="DQ514" s="10"/>
      <c r="DR514" s="10"/>
    </row>
    <row r="515" spans="1:122" ht="15.75" customHeight="1">
      <c r="A515" s="300"/>
      <c r="B515" s="300"/>
      <c r="C515" s="300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97"/>
      <c r="DH515" s="197"/>
      <c r="DI515" s="197"/>
      <c r="DJ515" s="10"/>
      <c r="DK515" s="10"/>
      <c r="DL515" s="10"/>
      <c r="DM515" s="10"/>
      <c r="DN515" s="10"/>
      <c r="DO515" s="10"/>
      <c r="DP515" s="10"/>
      <c r="DQ515" s="10"/>
      <c r="DR515" s="10"/>
    </row>
    <row r="516" spans="1:122" ht="15.75" customHeight="1">
      <c r="A516" s="300"/>
      <c r="B516" s="300"/>
      <c r="C516" s="300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97"/>
      <c r="DH516" s="197"/>
      <c r="DI516" s="197"/>
      <c r="DJ516" s="10"/>
      <c r="DK516" s="10"/>
      <c r="DL516" s="10"/>
      <c r="DM516" s="10"/>
      <c r="DN516" s="10"/>
      <c r="DO516" s="10"/>
      <c r="DP516" s="10"/>
      <c r="DQ516" s="10"/>
      <c r="DR516" s="10"/>
    </row>
    <row r="517" spans="1:122" ht="15.75" customHeight="1">
      <c r="A517" s="300"/>
      <c r="B517" s="300"/>
      <c r="C517" s="300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97"/>
      <c r="DH517" s="197"/>
      <c r="DI517" s="197"/>
      <c r="DJ517" s="10"/>
      <c r="DK517" s="10"/>
      <c r="DL517" s="10"/>
      <c r="DM517" s="10"/>
      <c r="DN517" s="10"/>
      <c r="DO517" s="10"/>
      <c r="DP517" s="10"/>
      <c r="DQ517" s="10"/>
      <c r="DR517" s="10"/>
    </row>
    <row r="518" spans="1:122" ht="15.75" customHeight="1">
      <c r="A518" s="300"/>
      <c r="B518" s="300"/>
      <c r="C518" s="300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97"/>
      <c r="DH518" s="197"/>
      <c r="DI518" s="197"/>
      <c r="DJ518" s="10"/>
      <c r="DK518" s="10"/>
      <c r="DL518" s="10"/>
      <c r="DM518" s="10"/>
      <c r="DN518" s="10"/>
      <c r="DO518" s="10"/>
      <c r="DP518" s="10"/>
      <c r="DQ518" s="10"/>
      <c r="DR518" s="10"/>
    </row>
    <row r="519" spans="1:122" ht="15.75" customHeight="1">
      <c r="A519" s="300"/>
      <c r="B519" s="300"/>
      <c r="C519" s="300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97"/>
      <c r="DH519" s="197"/>
      <c r="DI519" s="197"/>
      <c r="DJ519" s="10"/>
      <c r="DK519" s="10"/>
      <c r="DL519" s="10"/>
      <c r="DM519" s="10"/>
      <c r="DN519" s="10"/>
      <c r="DO519" s="10"/>
      <c r="DP519" s="10"/>
      <c r="DQ519" s="10"/>
      <c r="DR519" s="10"/>
    </row>
    <row r="520" spans="1:122" ht="15.75" customHeight="1">
      <c r="A520" s="300"/>
      <c r="B520" s="300"/>
      <c r="C520" s="300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97"/>
      <c r="DH520" s="197"/>
      <c r="DI520" s="197"/>
      <c r="DJ520" s="10"/>
      <c r="DK520" s="10"/>
      <c r="DL520" s="10"/>
      <c r="DM520" s="10"/>
      <c r="DN520" s="10"/>
      <c r="DO520" s="10"/>
      <c r="DP520" s="10"/>
      <c r="DQ520" s="10"/>
      <c r="DR520" s="10"/>
    </row>
    <row r="521" spans="1:122" ht="15.75" customHeight="1">
      <c r="A521" s="300"/>
      <c r="B521" s="300"/>
      <c r="C521" s="300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97"/>
      <c r="DH521" s="197"/>
      <c r="DI521" s="197"/>
      <c r="DJ521" s="10"/>
      <c r="DK521" s="10"/>
      <c r="DL521" s="10"/>
      <c r="DM521" s="10"/>
      <c r="DN521" s="10"/>
      <c r="DO521" s="10"/>
      <c r="DP521" s="10"/>
      <c r="DQ521" s="10"/>
      <c r="DR521" s="10"/>
    </row>
    <row r="522" spans="1:122" ht="15.75" customHeight="1">
      <c r="A522" s="300"/>
      <c r="B522" s="300"/>
      <c r="C522" s="300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97"/>
      <c r="DH522" s="197"/>
      <c r="DI522" s="197"/>
      <c r="DJ522" s="10"/>
      <c r="DK522" s="10"/>
      <c r="DL522" s="10"/>
      <c r="DM522" s="10"/>
      <c r="DN522" s="10"/>
      <c r="DO522" s="10"/>
      <c r="DP522" s="10"/>
      <c r="DQ522" s="10"/>
      <c r="DR522" s="10"/>
    </row>
    <row r="523" spans="1:122" ht="15.75" customHeight="1">
      <c r="A523" s="300"/>
      <c r="B523" s="300"/>
      <c r="C523" s="300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97"/>
      <c r="DH523" s="197"/>
      <c r="DI523" s="197"/>
      <c r="DJ523" s="10"/>
      <c r="DK523" s="10"/>
      <c r="DL523" s="10"/>
      <c r="DM523" s="10"/>
      <c r="DN523" s="10"/>
      <c r="DO523" s="10"/>
      <c r="DP523" s="10"/>
      <c r="DQ523" s="10"/>
      <c r="DR523" s="10"/>
    </row>
    <row r="524" spans="1:122" ht="15.75" customHeight="1">
      <c r="A524" s="300"/>
      <c r="B524" s="300"/>
      <c r="C524" s="300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97"/>
      <c r="DH524" s="197"/>
      <c r="DI524" s="197"/>
      <c r="DJ524" s="10"/>
      <c r="DK524" s="10"/>
      <c r="DL524" s="10"/>
      <c r="DM524" s="10"/>
      <c r="DN524" s="10"/>
      <c r="DO524" s="10"/>
      <c r="DP524" s="10"/>
      <c r="DQ524" s="10"/>
      <c r="DR524" s="10"/>
    </row>
    <row r="525" spans="1:122" ht="15.75" customHeight="1">
      <c r="A525" s="300"/>
      <c r="B525" s="300"/>
      <c r="C525" s="300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97"/>
      <c r="DH525" s="197"/>
      <c r="DI525" s="197"/>
      <c r="DJ525" s="10"/>
      <c r="DK525" s="10"/>
      <c r="DL525" s="10"/>
      <c r="DM525" s="10"/>
      <c r="DN525" s="10"/>
      <c r="DO525" s="10"/>
      <c r="DP525" s="10"/>
      <c r="DQ525" s="10"/>
      <c r="DR525" s="10"/>
    </row>
    <row r="526" spans="1:122" ht="15.75" customHeight="1">
      <c r="A526" s="300"/>
      <c r="B526" s="300"/>
      <c r="C526" s="300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97"/>
      <c r="DH526" s="197"/>
      <c r="DI526" s="197"/>
      <c r="DJ526" s="10"/>
      <c r="DK526" s="10"/>
      <c r="DL526" s="10"/>
      <c r="DM526" s="10"/>
      <c r="DN526" s="10"/>
      <c r="DO526" s="10"/>
      <c r="DP526" s="10"/>
      <c r="DQ526" s="10"/>
      <c r="DR526" s="10"/>
    </row>
    <row r="527" spans="1:122" ht="15.75" customHeight="1">
      <c r="A527" s="300"/>
      <c r="B527" s="300"/>
      <c r="C527" s="300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97"/>
      <c r="DH527" s="197"/>
      <c r="DI527" s="197"/>
      <c r="DJ527" s="10"/>
      <c r="DK527" s="10"/>
      <c r="DL527" s="10"/>
      <c r="DM527" s="10"/>
      <c r="DN527" s="10"/>
      <c r="DO527" s="10"/>
      <c r="DP527" s="10"/>
      <c r="DQ527" s="10"/>
      <c r="DR527" s="10"/>
    </row>
    <row r="528" spans="1:122" ht="15.75" customHeight="1">
      <c r="A528" s="300"/>
      <c r="B528" s="300"/>
      <c r="C528" s="300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97"/>
      <c r="DH528" s="197"/>
      <c r="DI528" s="197"/>
      <c r="DJ528" s="10"/>
      <c r="DK528" s="10"/>
      <c r="DL528" s="10"/>
      <c r="DM528" s="10"/>
      <c r="DN528" s="10"/>
      <c r="DO528" s="10"/>
      <c r="DP528" s="10"/>
      <c r="DQ528" s="10"/>
      <c r="DR528" s="10"/>
    </row>
    <row r="529" spans="1:122" ht="15.75" customHeight="1">
      <c r="A529" s="300"/>
      <c r="B529" s="300"/>
      <c r="C529" s="300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97"/>
      <c r="DH529" s="197"/>
      <c r="DI529" s="197"/>
      <c r="DJ529" s="10"/>
      <c r="DK529" s="10"/>
      <c r="DL529" s="10"/>
      <c r="DM529" s="10"/>
      <c r="DN529" s="10"/>
      <c r="DO529" s="10"/>
      <c r="DP529" s="10"/>
      <c r="DQ529" s="10"/>
      <c r="DR529" s="10"/>
    </row>
    <row r="530" spans="1:122" ht="15.75" customHeight="1">
      <c r="A530" s="300"/>
      <c r="B530" s="300"/>
      <c r="C530" s="300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97"/>
      <c r="DH530" s="197"/>
      <c r="DI530" s="197"/>
      <c r="DJ530" s="10"/>
      <c r="DK530" s="10"/>
      <c r="DL530" s="10"/>
      <c r="DM530" s="10"/>
      <c r="DN530" s="10"/>
      <c r="DO530" s="10"/>
      <c r="DP530" s="10"/>
      <c r="DQ530" s="10"/>
      <c r="DR530" s="10"/>
    </row>
    <row r="531" spans="1:122" ht="15.75" customHeight="1">
      <c r="A531" s="300"/>
      <c r="B531" s="300"/>
      <c r="C531" s="300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97"/>
      <c r="DH531" s="197"/>
      <c r="DI531" s="197"/>
      <c r="DJ531" s="10"/>
      <c r="DK531" s="10"/>
      <c r="DL531" s="10"/>
      <c r="DM531" s="10"/>
      <c r="DN531" s="10"/>
      <c r="DO531" s="10"/>
      <c r="DP531" s="10"/>
      <c r="DQ531" s="10"/>
      <c r="DR531" s="10"/>
    </row>
    <row r="532" spans="1:122" ht="15.75" customHeight="1">
      <c r="A532" s="300"/>
      <c r="B532" s="300"/>
      <c r="C532" s="300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97"/>
      <c r="DH532" s="197"/>
      <c r="DI532" s="197"/>
      <c r="DJ532" s="10"/>
      <c r="DK532" s="10"/>
      <c r="DL532" s="10"/>
      <c r="DM532" s="10"/>
      <c r="DN532" s="10"/>
      <c r="DO532" s="10"/>
      <c r="DP532" s="10"/>
      <c r="DQ532" s="10"/>
      <c r="DR532" s="10"/>
    </row>
    <row r="533" spans="1:122" ht="15.75" customHeight="1">
      <c r="A533" s="300"/>
      <c r="B533" s="300"/>
      <c r="C533" s="300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97"/>
      <c r="DH533" s="197"/>
      <c r="DI533" s="197"/>
      <c r="DJ533" s="10"/>
      <c r="DK533" s="10"/>
      <c r="DL533" s="10"/>
      <c r="DM533" s="10"/>
      <c r="DN533" s="10"/>
      <c r="DO533" s="10"/>
      <c r="DP533" s="10"/>
      <c r="DQ533" s="10"/>
      <c r="DR533" s="10"/>
    </row>
    <row r="534" spans="1:122" ht="15.75" customHeight="1">
      <c r="A534" s="300"/>
      <c r="B534" s="300"/>
      <c r="C534" s="300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97"/>
      <c r="DH534" s="197"/>
      <c r="DI534" s="197"/>
      <c r="DJ534" s="10"/>
      <c r="DK534" s="10"/>
      <c r="DL534" s="10"/>
      <c r="DM534" s="10"/>
      <c r="DN534" s="10"/>
      <c r="DO534" s="10"/>
      <c r="DP534" s="10"/>
      <c r="DQ534" s="10"/>
      <c r="DR534" s="10"/>
    </row>
    <row r="535" spans="1:122" ht="15.75" customHeight="1">
      <c r="A535" s="300"/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97"/>
      <c r="DH535" s="197"/>
      <c r="DI535" s="197"/>
      <c r="DJ535" s="10"/>
      <c r="DK535" s="10"/>
      <c r="DL535" s="10"/>
      <c r="DM535" s="10"/>
      <c r="DN535" s="10"/>
      <c r="DO535" s="10"/>
      <c r="DP535" s="10"/>
      <c r="DQ535" s="10"/>
      <c r="DR535" s="10"/>
    </row>
    <row r="536" spans="1:122" ht="15.75" customHeight="1">
      <c r="A536" s="300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97"/>
      <c r="DH536" s="197"/>
      <c r="DI536" s="197"/>
      <c r="DJ536" s="10"/>
      <c r="DK536" s="10"/>
      <c r="DL536" s="10"/>
      <c r="DM536" s="10"/>
      <c r="DN536" s="10"/>
      <c r="DO536" s="10"/>
      <c r="DP536" s="10"/>
      <c r="DQ536" s="10"/>
      <c r="DR536" s="10"/>
    </row>
    <row r="537" spans="1:122" ht="15.75" customHeight="1">
      <c r="A537" s="300"/>
      <c r="B537" s="300"/>
      <c r="C537" s="300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97"/>
      <c r="DH537" s="197"/>
      <c r="DI537" s="197"/>
      <c r="DJ537" s="10"/>
      <c r="DK537" s="10"/>
      <c r="DL537" s="10"/>
      <c r="DM537" s="10"/>
      <c r="DN537" s="10"/>
      <c r="DO537" s="10"/>
      <c r="DP537" s="10"/>
      <c r="DQ537" s="10"/>
      <c r="DR537" s="10"/>
    </row>
    <row r="538" spans="1:122" ht="15.75" customHeight="1">
      <c r="A538" s="300"/>
      <c r="B538" s="300"/>
      <c r="C538" s="300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97"/>
      <c r="DH538" s="197"/>
      <c r="DI538" s="197"/>
      <c r="DJ538" s="10"/>
      <c r="DK538" s="10"/>
      <c r="DL538" s="10"/>
      <c r="DM538" s="10"/>
      <c r="DN538" s="10"/>
      <c r="DO538" s="10"/>
      <c r="DP538" s="10"/>
      <c r="DQ538" s="10"/>
      <c r="DR538" s="10"/>
    </row>
    <row r="539" spans="1:122" ht="15.75" customHeight="1">
      <c r="A539" s="300"/>
      <c r="B539" s="300"/>
      <c r="C539" s="300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97"/>
      <c r="DH539" s="197"/>
      <c r="DI539" s="197"/>
      <c r="DJ539" s="10"/>
      <c r="DK539" s="10"/>
      <c r="DL539" s="10"/>
      <c r="DM539" s="10"/>
      <c r="DN539" s="10"/>
      <c r="DO539" s="10"/>
      <c r="DP539" s="10"/>
      <c r="DQ539" s="10"/>
      <c r="DR539" s="10"/>
    </row>
    <row r="540" spans="1:122" ht="15.75" customHeight="1">
      <c r="A540" s="300"/>
      <c r="B540" s="300"/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97"/>
      <c r="DH540" s="197"/>
      <c r="DI540" s="197"/>
      <c r="DJ540" s="10"/>
      <c r="DK540" s="10"/>
      <c r="DL540" s="10"/>
      <c r="DM540" s="10"/>
      <c r="DN540" s="10"/>
      <c r="DO540" s="10"/>
      <c r="DP540" s="10"/>
      <c r="DQ540" s="10"/>
      <c r="DR540" s="10"/>
    </row>
    <row r="541" spans="1:122" ht="15.75" customHeight="1">
      <c r="A541" s="300"/>
      <c r="B541" s="300"/>
      <c r="C541" s="300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97"/>
      <c r="DH541" s="197"/>
      <c r="DI541" s="197"/>
      <c r="DJ541" s="10"/>
      <c r="DK541" s="10"/>
      <c r="DL541" s="10"/>
      <c r="DM541" s="10"/>
      <c r="DN541" s="10"/>
      <c r="DO541" s="10"/>
      <c r="DP541" s="10"/>
      <c r="DQ541" s="10"/>
      <c r="DR541" s="10"/>
    </row>
    <row r="542" spans="1:122" ht="15.75" customHeight="1">
      <c r="A542" s="300"/>
      <c r="B542" s="300"/>
      <c r="C542" s="300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97"/>
      <c r="DH542" s="197"/>
      <c r="DI542" s="197"/>
      <c r="DJ542" s="10"/>
      <c r="DK542" s="10"/>
      <c r="DL542" s="10"/>
      <c r="DM542" s="10"/>
      <c r="DN542" s="10"/>
      <c r="DO542" s="10"/>
      <c r="DP542" s="10"/>
      <c r="DQ542" s="10"/>
      <c r="DR542" s="10"/>
    </row>
    <row r="543" spans="1:122" ht="15.75" customHeight="1">
      <c r="A543" s="300"/>
      <c r="B543" s="300"/>
      <c r="C543" s="300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97"/>
      <c r="DH543" s="197"/>
      <c r="DI543" s="197"/>
      <c r="DJ543" s="10"/>
      <c r="DK543" s="10"/>
      <c r="DL543" s="10"/>
      <c r="DM543" s="10"/>
      <c r="DN543" s="10"/>
      <c r="DO543" s="10"/>
      <c r="DP543" s="10"/>
      <c r="DQ543" s="10"/>
      <c r="DR543" s="10"/>
    </row>
    <row r="544" spans="1:122" ht="15.75" customHeight="1">
      <c r="A544" s="300"/>
      <c r="B544" s="300"/>
      <c r="C544" s="300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97"/>
      <c r="DH544" s="197"/>
      <c r="DI544" s="197"/>
      <c r="DJ544" s="10"/>
      <c r="DK544" s="10"/>
      <c r="DL544" s="10"/>
      <c r="DM544" s="10"/>
      <c r="DN544" s="10"/>
      <c r="DO544" s="10"/>
      <c r="DP544" s="10"/>
      <c r="DQ544" s="10"/>
      <c r="DR544" s="10"/>
    </row>
    <row r="545" spans="1:122" ht="15.75" customHeight="1">
      <c r="A545" s="300"/>
      <c r="B545" s="300"/>
      <c r="C545" s="300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97"/>
      <c r="DH545" s="197"/>
      <c r="DI545" s="197"/>
      <c r="DJ545" s="10"/>
      <c r="DK545" s="10"/>
      <c r="DL545" s="10"/>
      <c r="DM545" s="10"/>
      <c r="DN545" s="10"/>
      <c r="DO545" s="10"/>
      <c r="DP545" s="10"/>
      <c r="DQ545" s="10"/>
      <c r="DR545" s="10"/>
    </row>
    <row r="546" spans="1:122" ht="15.75" customHeight="1">
      <c r="A546" s="300"/>
      <c r="B546" s="300"/>
      <c r="C546" s="300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97"/>
      <c r="DH546" s="197"/>
      <c r="DI546" s="197"/>
      <c r="DJ546" s="10"/>
      <c r="DK546" s="10"/>
      <c r="DL546" s="10"/>
      <c r="DM546" s="10"/>
      <c r="DN546" s="10"/>
      <c r="DO546" s="10"/>
      <c r="DP546" s="10"/>
      <c r="DQ546" s="10"/>
      <c r="DR546" s="10"/>
    </row>
    <row r="547" spans="1:122" ht="15.75" customHeight="1">
      <c r="A547" s="300"/>
      <c r="B547" s="300"/>
      <c r="C547" s="300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97"/>
      <c r="DH547" s="197"/>
      <c r="DI547" s="197"/>
      <c r="DJ547" s="10"/>
      <c r="DK547" s="10"/>
      <c r="DL547" s="10"/>
      <c r="DM547" s="10"/>
      <c r="DN547" s="10"/>
      <c r="DO547" s="10"/>
      <c r="DP547" s="10"/>
      <c r="DQ547" s="10"/>
      <c r="DR547" s="10"/>
    </row>
    <row r="548" spans="1:122" ht="15.75" customHeight="1">
      <c r="A548" s="300"/>
      <c r="B548" s="300"/>
      <c r="C548" s="300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97"/>
      <c r="DH548" s="197"/>
      <c r="DI548" s="197"/>
      <c r="DJ548" s="10"/>
      <c r="DK548" s="10"/>
      <c r="DL548" s="10"/>
      <c r="DM548" s="10"/>
      <c r="DN548" s="10"/>
      <c r="DO548" s="10"/>
      <c r="DP548" s="10"/>
      <c r="DQ548" s="10"/>
      <c r="DR548" s="10"/>
    </row>
    <row r="549" spans="1:122" ht="15.75" customHeight="1">
      <c r="A549" s="300"/>
      <c r="B549" s="300"/>
      <c r="C549" s="300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97"/>
      <c r="DH549" s="197"/>
      <c r="DI549" s="197"/>
      <c r="DJ549" s="10"/>
      <c r="DK549" s="10"/>
      <c r="DL549" s="10"/>
      <c r="DM549" s="10"/>
      <c r="DN549" s="10"/>
      <c r="DO549" s="10"/>
      <c r="DP549" s="10"/>
      <c r="DQ549" s="10"/>
      <c r="DR549" s="10"/>
    </row>
    <row r="550" spans="1:122" ht="15.75" customHeight="1">
      <c r="A550" s="300"/>
      <c r="B550" s="300"/>
      <c r="C550" s="300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97"/>
      <c r="DH550" s="197"/>
      <c r="DI550" s="197"/>
      <c r="DJ550" s="10"/>
      <c r="DK550" s="10"/>
      <c r="DL550" s="10"/>
      <c r="DM550" s="10"/>
      <c r="DN550" s="10"/>
      <c r="DO550" s="10"/>
      <c r="DP550" s="10"/>
      <c r="DQ550" s="10"/>
      <c r="DR550" s="10"/>
    </row>
    <row r="551" spans="1:122" ht="15.75" customHeight="1">
      <c r="A551" s="300"/>
      <c r="B551" s="300"/>
      <c r="C551" s="300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97"/>
      <c r="DH551" s="197"/>
      <c r="DI551" s="197"/>
      <c r="DJ551" s="10"/>
      <c r="DK551" s="10"/>
      <c r="DL551" s="10"/>
      <c r="DM551" s="10"/>
      <c r="DN551" s="10"/>
      <c r="DO551" s="10"/>
      <c r="DP551" s="10"/>
      <c r="DQ551" s="10"/>
      <c r="DR551" s="10"/>
    </row>
    <row r="552" spans="1:122" ht="15.75" customHeight="1">
      <c r="A552" s="300"/>
      <c r="B552" s="300"/>
      <c r="C552" s="300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97"/>
      <c r="DH552" s="197"/>
      <c r="DI552" s="197"/>
      <c r="DJ552" s="10"/>
      <c r="DK552" s="10"/>
      <c r="DL552" s="10"/>
      <c r="DM552" s="10"/>
      <c r="DN552" s="10"/>
      <c r="DO552" s="10"/>
      <c r="DP552" s="10"/>
      <c r="DQ552" s="10"/>
      <c r="DR552" s="10"/>
    </row>
    <row r="553" spans="1:122" ht="15.75" customHeight="1">
      <c r="A553" s="300"/>
      <c r="B553" s="300"/>
      <c r="C553" s="300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97"/>
      <c r="DH553" s="197"/>
      <c r="DI553" s="197"/>
      <c r="DJ553" s="10"/>
      <c r="DK553" s="10"/>
      <c r="DL553" s="10"/>
      <c r="DM553" s="10"/>
      <c r="DN553" s="10"/>
      <c r="DO553" s="10"/>
      <c r="DP553" s="10"/>
      <c r="DQ553" s="10"/>
      <c r="DR553" s="10"/>
    </row>
    <row r="554" spans="1:122" ht="15.75" customHeight="1">
      <c r="A554" s="300"/>
      <c r="B554" s="300"/>
      <c r="C554" s="300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97"/>
      <c r="DH554" s="197"/>
      <c r="DI554" s="197"/>
      <c r="DJ554" s="10"/>
      <c r="DK554" s="10"/>
      <c r="DL554" s="10"/>
      <c r="DM554" s="10"/>
      <c r="DN554" s="10"/>
      <c r="DO554" s="10"/>
      <c r="DP554" s="10"/>
      <c r="DQ554" s="10"/>
      <c r="DR554" s="10"/>
    </row>
    <row r="555" spans="1:122" ht="15.75" customHeight="1">
      <c r="A555" s="300"/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97"/>
      <c r="DH555" s="197"/>
      <c r="DI555" s="197"/>
      <c r="DJ555" s="10"/>
      <c r="DK555" s="10"/>
      <c r="DL555" s="10"/>
      <c r="DM555" s="10"/>
      <c r="DN555" s="10"/>
      <c r="DO555" s="10"/>
      <c r="DP555" s="10"/>
      <c r="DQ555" s="10"/>
      <c r="DR555" s="10"/>
    </row>
    <row r="556" spans="1:122" ht="15.75" customHeight="1">
      <c r="A556" s="300"/>
      <c r="B556" s="300"/>
      <c r="C556" s="300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97"/>
      <c r="DH556" s="197"/>
      <c r="DI556" s="197"/>
      <c r="DJ556" s="10"/>
      <c r="DK556" s="10"/>
      <c r="DL556" s="10"/>
      <c r="DM556" s="10"/>
      <c r="DN556" s="10"/>
      <c r="DO556" s="10"/>
      <c r="DP556" s="10"/>
      <c r="DQ556" s="10"/>
      <c r="DR556" s="10"/>
    </row>
    <row r="557" spans="1:122" ht="15.75" customHeight="1">
      <c r="A557" s="300"/>
      <c r="B557" s="300"/>
      <c r="C557" s="300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97"/>
      <c r="DH557" s="197"/>
      <c r="DI557" s="197"/>
      <c r="DJ557" s="10"/>
      <c r="DK557" s="10"/>
      <c r="DL557" s="10"/>
      <c r="DM557" s="10"/>
      <c r="DN557" s="10"/>
      <c r="DO557" s="10"/>
      <c r="DP557" s="10"/>
      <c r="DQ557" s="10"/>
      <c r="DR557" s="10"/>
    </row>
    <row r="558" spans="1:122" ht="15.75" customHeight="1">
      <c r="A558" s="300"/>
      <c r="B558" s="300"/>
      <c r="C558" s="300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97"/>
      <c r="DH558" s="197"/>
      <c r="DI558" s="197"/>
      <c r="DJ558" s="10"/>
      <c r="DK558" s="10"/>
      <c r="DL558" s="10"/>
      <c r="DM558" s="10"/>
      <c r="DN558" s="10"/>
      <c r="DO558" s="10"/>
      <c r="DP558" s="10"/>
      <c r="DQ558" s="10"/>
      <c r="DR558" s="10"/>
    </row>
    <row r="559" spans="1:122" ht="15.75" customHeight="1">
      <c r="A559" s="300"/>
      <c r="B559" s="300"/>
      <c r="C559" s="300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97"/>
      <c r="DH559" s="197"/>
      <c r="DI559" s="197"/>
      <c r="DJ559" s="10"/>
      <c r="DK559" s="10"/>
      <c r="DL559" s="10"/>
      <c r="DM559" s="10"/>
      <c r="DN559" s="10"/>
      <c r="DO559" s="10"/>
      <c r="DP559" s="10"/>
      <c r="DQ559" s="10"/>
      <c r="DR559" s="10"/>
    </row>
    <row r="560" spans="1:122" ht="15.75" customHeight="1">
      <c r="A560" s="300"/>
      <c r="B560" s="300"/>
      <c r="C560" s="300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97"/>
      <c r="DH560" s="197"/>
      <c r="DI560" s="197"/>
      <c r="DJ560" s="10"/>
      <c r="DK560" s="10"/>
      <c r="DL560" s="10"/>
      <c r="DM560" s="10"/>
      <c r="DN560" s="10"/>
      <c r="DO560" s="10"/>
      <c r="DP560" s="10"/>
      <c r="DQ560" s="10"/>
      <c r="DR560" s="10"/>
    </row>
    <row r="561" spans="1:122" ht="15.75" customHeight="1">
      <c r="A561" s="300"/>
      <c r="B561" s="300"/>
      <c r="C561" s="300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97"/>
      <c r="DH561" s="197"/>
      <c r="DI561" s="197"/>
      <c r="DJ561" s="10"/>
      <c r="DK561" s="10"/>
      <c r="DL561" s="10"/>
      <c r="DM561" s="10"/>
      <c r="DN561" s="10"/>
      <c r="DO561" s="10"/>
      <c r="DP561" s="10"/>
      <c r="DQ561" s="10"/>
      <c r="DR561" s="10"/>
    </row>
    <row r="562" spans="1:122" ht="15.75" customHeight="1">
      <c r="A562" s="300"/>
      <c r="B562" s="300"/>
      <c r="C562" s="300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97"/>
      <c r="DH562" s="197"/>
      <c r="DI562" s="197"/>
      <c r="DJ562" s="10"/>
      <c r="DK562" s="10"/>
      <c r="DL562" s="10"/>
      <c r="DM562" s="10"/>
      <c r="DN562" s="10"/>
      <c r="DO562" s="10"/>
      <c r="DP562" s="10"/>
      <c r="DQ562" s="10"/>
      <c r="DR562" s="10"/>
    </row>
    <row r="563" spans="1:122" ht="15.75" customHeight="1">
      <c r="A563" s="300"/>
      <c r="B563" s="300"/>
      <c r="C563" s="300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97"/>
      <c r="DH563" s="197"/>
      <c r="DI563" s="197"/>
      <c r="DJ563" s="10"/>
      <c r="DK563" s="10"/>
      <c r="DL563" s="10"/>
      <c r="DM563" s="10"/>
      <c r="DN563" s="10"/>
      <c r="DO563" s="10"/>
      <c r="DP563" s="10"/>
      <c r="DQ563" s="10"/>
      <c r="DR563" s="10"/>
    </row>
    <row r="564" spans="1:122" ht="15.75" customHeight="1">
      <c r="A564" s="300"/>
      <c r="B564" s="300"/>
      <c r="C564" s="300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97"/>
      <c r="DH564" s="197"/>
      <c r="DI564" s="197"/>
      <c r="DJ564" s="10"/>
      <c r="DK564" s="10"/>
      <c r="DL564" s="10"/>
      <c r="DM564" s="10"/>
      <c r="DN564" s="10"/>
      <c r="DO564" s="10"/>
      <c r="DP564" s="10"/>
      <c r="DQ564" s="10"/>
      <c r="DR564" s="10"/>
    </row>
    <row r="565" spans="1:122" ht="15.75" customHeight="1">
      <c r="A565" s="300"/>
      <c r="B565" s="300"/>
      <c r="C565" s="300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97"/>
      <c r="DH565" s="197"/>
      <c r="DI565" s="197"/>
      <c r="DJ565" s="10"/>
      <c r="DK565" s="10"/>
      <c r="DL565" s="10"/>
      <c r="DM565" s="10"/>
      <c r="DN565" s="10"/>
      <c r="DO565" s="10"/>
      <c r="DP565" s="10"/>
      <c r="DQ565" s="10"/>
      <c r="DR565" s="10"/>
    </row>
    <row r="566" spans="1:122" ht="15.75" customHeight="1">
      <c r="A566" s="300"/>
      <c r="B566" s="300"/>
      <c r="C566" s="300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97"/>
      <c r="DH566" s="197"/>
      <c r="DI566" s="197"/>
      <c r="DJ566" s="10"/>
      <c r="DK566" s="10"/>
      <c r="DL566" s="10"/>
      <c r="DM566" s="10"/>
      <c r="DN566" s="10"/>
      <c r="DO566" s="10"/>
      <c r="DP566" s="10"/>
      <c r="DQ566" s="10"/>
      <c r="DR566" s="10"/>
    </row>
    <row r="567" spans="1:122" ht="15.75" customHeight="1">
      <c r="A567" s="300"/>
      <c r="B567" s="300"/>
      <c r="C567" s="300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97"/>
      <c r="DH567" s="197"/>
      <c r="DI567" s="197"/>
      <c r="DJ567" s="10"/>
      <c r="DK567" s="10"/>
      <c r="DL567" s="10"/>
      <c r="DM567" s="10"/>
      <c r="DN567" s="10"/>
      <c r="DO567" s="10"/>
      <c r="DP567" s="10"/>
      <c r="DQ567" s="10"/>
      <c r="DR567" s="10"/>
    </row>
    <row r="568" spans="1:122" ht="15.75" customHeight="1">
      <c r="A568" s="300"/>
      <c r="B568" s="300"/>
      <c r="C568" s="300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97"/>
      <c r="DH568" s="197"/>
      <c r="DI568" s="197"/>
      <c r="DJ568" s="10"/>
      <c r="DK568" s="10"/>
      <c r="DL568" s="10"/>
      <c r="DM568" s="10"/>
      <c r="DN568" s="10"/>
      <c r="DO568" s="10"/>
      <c r="DP568" s="10"/>
      <c r="DQ568" s="10"/>
      <c r="DR568" s="10"/>
    </row>
    <row r="569" spans="1:122" ht="15.75" customHeight="1">
      <c r="A569" s="300"/>
      <c r="B569" s="300"/>
      <c r="C569" s="300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97"/>
      <c r="DH569" s="197"/>
      <c r="DI569" s="197"/>
      <c r="DJ569" s="10"/>
      <c r="DK569" s="10"/>
      <c r="DL569" s="10"/>
      <c r="DM569" s="10"/>
      <c r="DN569" s="10"/>
      <c r="DO569" s="10"/>
      <c r="DP569" s="10"/>
      <c r="DQ569" s="10"/>
      <c r="DR569" s="10"/>
    </row>
    <row r="570" spans="1:122" ht="15.75" customHeight="1">
      <c r="A570" s="300"/>
      <c r="B570" s="300"/>
      <c r="C570" s="300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97"/>
      <c r="DH570" s="197"/>
      <c r="DI570" s="197"/>
      <c r="DJ570" s="10"/>
      <c r="DK570" s="10"/>
      <c r="DL570" s="10"/>
      <c r="DM570" s="10"/>
      <c r="DN570" s="10"/>
      <c r="DO570" s="10"/>
      <c r="DP570" s="10"/>
      <c r="DQ570" s="10"/>
      <c r="DR570" s="10"/>
    </row>
    <row r="571" spans="1:122" ht="15.75" customHeight="1">
      <c r="A571" s="300"/>
      <c r="B571" s="300"/>
      <c r="C571" s="300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97"/>
      <c r="DH571" s="197"/>
      <c r="DI571" s="197"/>
      <c r="DJ571" s="10"/>
      <c r="DK571" s="10"/>
      <c r="DL571" s="10"/>
      <c r="DM571" s="10"/>
      <c r="DN571" s="10"/>
      <c r="DO571" s="10"/>
      <c r="DP571" s="10"/>
      <c r="DQ571" s="10"/>
      <c r="DR571" s="10"/>
    </row>
    <row r="572" spans="1:122" ht="15.75" customHeight="1">
      <c r="A572" s="300"/>
      <c r="B572" s="300"/>
      <c r="C572" s="300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97"/>
      <c r="DH572" s="197"/>
      <c r="DI572" s="197"/>
      <c r="DJ572" s="10"/>
      <c r="DK572" s="10"/>
      <c r="DL572" s="10"/>
      <c r="DM572" s="10"/>
      <c r="DN572" s="10"/>
      <c r="DO572" s="10"/>
      <c r="DP572" s="10"/>
      <c r="DQ572" s="10"/>
      <c r="DR572" s="10"/>
    </row>
    <row r="573" spans="1:122" ht="15.75" customHeight="1">
      <c r="A573" s="300"/>
      <c r="B573" s="300"/>
      <c r="C573" s="300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97"/>
      <c r="DH573" s="197"/>
      <c r="DI573" s="197"/>
      <c r="DJ573" s="10"/>
      <c r="DK573" s="10"/>
      <c r="DL573" s="10"/>
      <c r="DM573" s="10"/>
      <c r="DN573" s="10"/>
      <c r="DO573" s="10"/>
      <c r="DP573" s="10"/>
      <c r="DQ573" s="10"/>
      <c r="DR573" s="10"/>
    </row>
    <row r="574" spans="1:122" ht="15.75" customHeight="1">
      <c r="A574" s="300"/>
      <c r="B574" s="300"/>
      <c r="C574" s="300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97"/>
      <c r="DH574" s="197"/>
      <c r="DI574" s="197"/>
      <c r="DJ574" s="10"/>
      <c r="DK574" s="10"/>
      <c r="DL574" s="10"/>
      <c r="DM574" s="10"/>
      <c r="DN574" s="10"/>
      <c r="DO574" s="10"/>
      <c r="DP574" s="10"/>
      <c r="DQ574" s="10"/>
      <c r="DR574" s="10"/>
    </row>
    <row r="575" spans="1:122" ht="15.75" customHeight="1">
      <c r="A575" s="300"/>
      <c r="B575" s="300"/>
      <c r="C575" s="300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97"/>
      <c r="DH575" s="197"/>
      <c r="DI575" s="197"/>
      <c r="DJ575" s="10"/>
      <c r="DK575" s="10"/>
      <c r="DL575" s="10"/>
      <c r="DM575" s="10"/>
      <c r="DN575" s="10"/>
      <c r="DO575" s="10"/>
      <c r="DP575" s="10"/>
      <c r="DQ575" s="10"/>
      <c r="DR575" s="10"/>
    </row>
    <row r="576" spans="1:122" ht="15.75" customHeight="1">
      <c r="A576" s="300"/>
      <c r="B576" s="300"/>
      <c r="C576" s="300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97"/>
      <c r="DH576" s="197"/>
      <c r="DI576" s="197"/>
      <c r="DJ576" s="10"/>
      <c r="DK576" s="10"/>
      <c r="DL576" s="10"/>
      <c r="DM576" s="10"/>
      <c r="DN576" s="10"/>
      <c r="DO576" s="10"/>
      <c r="DP576" s="10"/>
      <c r="DQ576" s="10"/>
      <c r="DR576" s="10"/>
    </row>
    <row r="577" spans="1:122" ht="15.75" customHeight="1">
      <c r="A577" s="300"/>
      <c r="B577" s="300"/>
      <c r="C577" s="300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97"/>
      <c r="DH577" s="197"/>
      <c r="DI577" s="197"/>
      <c r="DJ577" s="10"/>
      <c r="DK577" s="10"/>
      <c r="DL577" s="10"/>
      <c r="DM577" s="10"/>
      <c r="DN577" s="10"/>
      <c r="DO577" s="10"/>
      <c r="DP577" s="10"/>
      <c r="DQ577" s="10"/>
      <c r="DR577" s="10"/>
    </row>
    <row r="578" spans="1:122" ht="15.75" customHeight="1">
      <c r="A578" s="300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97"/>
      <c r="DH578" s="197"/>
      <c r="DI578" s="197"/>
      <c r="DJ578" s="10"/>
      <c r="DK578" s="10"/>
      <c r="DL578" s="10"/>
      <c r="DM578" s="10"/>
      <c r="DN578" s="10"/>
      <c r="DO578" s="10"/>
      <c r="DP578" s="10"/>
      <c r="DQ578" s="10"/>
      <c r="DR578" s="10"/>
    </row>
    <row r="579" spans="1:122" ht="15.75" customHeight="1">
      <c r="A579" s="300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97"/>
      <c r="DH579" s="197"/>
      <c r="DI579" s="197"/>
      <c r="DJ579" s="10"/>
      <c r="DK579" s="10"/>
      <c r="DL579" s="10"/>
      <c r="DM579" s="10"/>
      <c r="DN579" s="10"/>
      <c r="DO579" s="10"/>
      <c r="DP579" s="10"/>
      <c r="DQ579" s="10"/>
      <c r="DR579" s="10"/>
    </row>
    <row r="580" spans="1:122" ht="15.75" customHeight="1">
      <c r="A580" s="300"/>
      <c r="B580" s="300"/>
      <c r="C580" s="300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97"/>
      <c r="DH580" s="197"/>
      <c r="DI580" s="197"/>
      <c r="DJ580" s="10"/>
      <c r="DK580" s="10"/>
      <c r="DL580" s="10"/>
      <c r="DM580" s="10"/>
      <c r="DN580" s="10"/>
      <c r="DO580" s="10"/>
      <c r="DP580" s="10"/>
      <c r="DQ580" s="10"/>
      <c r="DR580" s="10"/>
    </row>
    <row r="581" spans="1:122" ht="15.75" customHeight="1">
      <c r="A581" s="300"/>
      <c r="B581" s="300"/>
      <c r="C581" s="300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97"/>
      <c r="DH581" s="197"/>
      <c r="DI581" s="197"/>
      <c r="DJ581" s="10"/>
      <c r="DK581" s="10"/>
      <c r="DL581" s="10"/>
      <c r="DM581" s="10"/>
      <c r="DN581" s="10"/>
      <c r="DO581" s="10"/>
      <c r="DP581" s="10"/>
      <c r="DQ581" s="10"/>
      <c r="DR581" s="10"/>
    </row>
    <row r="582" spans="1:122" ht="15.75" customHeight="1">
      <c r="A582" s="300"/>
      <c r="B582" s="300"/>
      <c r="C582" s="300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97"/>
      <c r="DH582" s="197"/>
      <c r="DI582" s="197"/>
      <c r="DJ582" s="10"/>
      <c r="DK582" s="10"/>
      <c r="DL582" s="10"/>
      <c r="DM582" s="10"/>
      <c r="DN582" s="10"/>
      <c r="DO582" s="10"/>
      <c r="DP582" s="10"/>
      <c r="DQ582" s="10"/>
      <c r="DR582" s="10"/>
    </row>
    <row r="583" spans="1:122" ht="15.75" customHeight="1">
      <c r="A583" s="300"/>
      <c r="B583" s="300"/>
      <c r="C583" s="300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97"/>
      <c r="DH583" s="197"/>
      <c r="DI583" s="197"/>
      <c r="DJ583" s="10"/>
      <c r="DK583" s="10"/>
      <c r="DL583" s="10"/>
      <c r="DM583" s="10"/>
      <c r="DN583" s="10"/>
      <c r="DO583" s="10"/>
      <c r="DP583" s="10"/>
      <c r="DQ583" s="10"/>
      <c r="DR583" s="10"/>
    </row>
    <row r="584" spans="1:122" ht="15.75" customHeight="1">
      <c r="A584" s="300"/>
      <c r="B584" s="300"/>
      <c r="C584" s="300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97"/>
      <c r="DH584" s="197"/>
      <c r="DI584" s="197"/>
      <c r="DJ584" s="10"/>
      <c r="DK584" s="10"/>
      <c r="DL584" s="10"/>
      <c r="DM584" s="10"/>
      <c r="DN584" s="10"/>
      <c r="DO584" s="10"/>
      <c r="DP584" s="10"/>
      <c r="DQ584" s="10"/>
      <c r="DR584" s="10"/>
    </row>
    <row r="585" spans="1:122" ht="15.75" customHeight="1">
      <c r="A585" s="300"/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97"/>
      <c r="DH585" s="197"/>
      <c r="DI585" s="197"/>
      <c r="DJ585" s="10"/>
      <c r="DK585" s="10"/>
      <c r="DL585" s="10"/>
      <c r="DM585" s="10"/>
      <c r="DN585" s="10"/>
      <c r="DO585" s="10"/>
      <c r="DP585" s="10"/>
      <c r="DQ585" s="10"/>
      <c r="DR585" s="10"/>
    </row>
    <row r="586" spans="1:122" ht="15.75" customHeight="1">
      <c r="A586" s="300"/>
      <c r="B586" s="300"/>
      <c r="C586" s="300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97"/>
      <c r="DH586" s="197"/>
      <c r="DI586" s="197"/>
      <c r="DJ586" s="10"/>
      <c r="DK586" s="10"/>
      <c r="DL586" s="10"/>
      <c r="DM586" s="10"/>
      <c r="DN586" s="10"/>
      <c r="DO586" s="10"/>
      <c r="DP586" s="10"/>
      <c r="DQ586" s="10"/>
      <c r="DR586" s="10"/>
    </row>
    <row r="587" spans="1:122" ht="15.75" customHeight="1">
      <c r="A587" s="300"/>
      <c r="B587" s="300"/>
      <c r="C587" s="300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97"/>
      <c r="DH587" s="197"/>
      <c r="DI587" s="197"/>
      <c r="DJ587" s="10"/>
      <c r="DK587" s="10"/>
      <c r="DL587" s="10"/>
      <c r="DM587" s="10"/>
      <c r="DN587" s="10"/>
      <c r="DO587" s="10"/>
      <c r="DP587" s="10"/>
      <c r="DQ587" s="10"/>
      <c r="DR587" s="10"/>
    </row>
    <row r="588" spans="1:122" ht="15.75" customHeight="1">
      <c r="A588" s="300"/>
      <c r="B588" s="300"/>
      <c r="C588" s="300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97"/>
      <c r="DH588" s="197"/>
      <c r="DI588" s="197"/>
      <c r="DJ588" s="10"/>
      <c r="DK588" s="10"/>
      <c r="DL588" s="10"/>
      <c r="DM588" s="10"/>
      <c r="DN588" s="10"/>
      <c r="DO588" s="10"/>
      <c r="DP588" s="10"/>
      <c r="DQ588" s="10"/>
      <c r="DR588" s="10"/>
    </row>
    <row r="589" spans="1:122" ht="15.75" customHeight="1">
      <c r="A589" s="300"/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97"/>
      <c r="DH589" s="197"/>
      <c r="DI589" s="197"/>
      <c r="DJ589" s="10"/>
      <c r="DK589" s="10"/>
      <c r="DL589" s="10"/>
      <c r="DM589" s="10"/>
      <c r="DN589" s="10"/>
      <c r="DO589" s="10"/>
      <c r="DP589" s="10"/>
      <c r="DQ589" s="10"/>
      <c r="DR589" s="10"/>
    </row>
    <row r="590" spans="1:122" ht="15.75" customHeight="1">
      <c r="A590" s="300"/>
      <c r="B590" s="300"/>
      <c r="C590" s="300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97"/>
      <c r="DH590" s="197"/>
      <c r="DI590" s="197"/>
      <c r="DJ590" s="10"/>
      <c r="DK590" s="10"/>
      <c r="DL590" s="10"/>
      <c r="DM590" s="10"/>
      <c r="DN590" s="10"/>
      <c r="DO590" s="10"/>
      <c r="DP590" s="10"/>
      <c r="DQ590" s="10"/>
      <c r="DR590" s="10"/>
    </row>
    <row r="591" spans="1:122" ht="15.75" customHeight="1">
      <c r="A591" s="300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97"/>
      <c r="DH591" s="197"/>
      <c r="DI591" s="197"/>
      <c r="DJ591" s="10"/>
      <c r="DK591" s="10"/>
      <c r="DL591" s="10"/>
      <c r="DM591" s="10"/>
      <c r="DN591" s="10"/>
      <c r="DO591" s="10"/>
      <c r="DP591" s="10"/>
      <c r="DQ591" s="10"/>
      <c r="DR591" s="10"/>
    </row>
    <row r="592" spans="1:122" ht="15.75" customHeight="1">
      <c r="A592" s="300"/>
      <c r="B592" s="300"/>
      <c r="C592" s="300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97"/>
      <c r="DH592" s="197"/>
      <c r="DI592" s="197"/>
      <c r="DJ592" s="10"/>
      <c r="DK592" s="10"/>
      <c r="DL592" s="10"/>
      <c r="DM592" s="10"/>
      <c r="DN592" s="10"/>
      <c r="DO592" s="10"/>
      <c r="DP592" s="10"/>
      <c r="DQ592" s="10"/>
      <c r="DR592" s="10"/>
    </row>
    <row r="593" spans="1:122" ht="15.75" customHeight="1">
      <c r="A593" s="300"/>
      <c r="B593" s="300"/>
      <c r="C593" s="300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97"/>
      <c r="DH593" s="197"/>
      <c r="DI593" s="197"/>
      <c r="DJ593" s="10"/>
      <c r="DK593" s="10"/>
      <c r="DL593" s="10"/>
      <c r="DM593" s="10"/>
      <c r="DN593" s="10"/>
      <c r="DO593" s="10"/>
      <c r="DP593" s="10"/>
      <c r="DQ593" s="10"/>
      <c r="DR593" s="10"/>
    </row>
    <row r="594" spans="1:122" ht="15.75" customHeight="1">
      <c r="A594" s="300"/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97"/>
      <c r="DH594" s="197"/>
      <c r="DI594" s="197"/>
      <c r="DJ594" s="10"/>
      <c r="DK594" s="10"/>
      <c r="DL594" s="10"/>
      <c r="DM594" s="10"/>
      <c r="DN594" s="10"/>
      <c r="DO594" s="10"/>
      <c r="DP594" s="10"/>
      <c r="DQ594" s="10"/>
      <c r="DR594" s="10"/>
    </row>
    <row r="595" spans="1:122" ht="15.75" customHeight="1">
      <c r="A595" s="300"/>
      <c r="B595" s="300"/>
      <c r="C595" s="300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97"/>
      <c r="DH595" s="197"/>
      <c r="DI595" s="197"/>
      <c r="DJ595" s="10"/>
      <c r="DK595" s="10"/>
      <c r="DL595" s="10"/>
      <c r="DM595" s="10"/>
      <c r="DN595" s="10"/>
      <c r="DO595" s="10"/>
      <c r="DP595" s="10"/>
      <c r="DQ595" s="10"/>
      <c r="DR595" s="10"/>
    </row>
    <row r="596" spans="1:122" ht="15.75" customHeight="1">
      <c r="A596" s="300"/>
      <c r="B596" s="300"/>
      <c r="C596" s="300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97"/>
      <c r="DH596" s="197"/>
      <c r="DI596" s="197"/>
      <c r="DJ596" s="10"/>
      <c r="DK596" s="10"/>
      <c r="DL596" s="10"/>
      <c r="DM596" s="10"/>
      <c r="DN596" s="10"/>
      <c r="DO596" s="10"/>
      <c r="DP596" s="10"/>
      <c r="DQ596" s="10"/>
      <c r="DR596" s="10"/>
    </row>
    <row r="597" spans="1:122" ht="15.75" customHeight="1">
      <c r="A597" s="300"/>
      <c r="B597" s="300"/>
      <c r="C597" s="300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97"/>
      <c r="DH597" s="197"/>
      <c r="DI597" s="197"/>
      <c r="DJ597" s="10"/>
      <c r="DK597" s="10"/>
      <c r="DL597" s="10"/>
      <c r="DM597" s="10"/>
      <c r="DN597" s="10"/>
      <c r="DO597" s="10"/>
      <c r="DP597" s="10"/>
      <c r="DQ597" s="10"/>
      <c r="DR597" s="10"/>
    </row>
    <row r="598" spans="1:122" ht="15.75" customHeight="1">
      <c r="A598" s="300"/>
      <c r="B598" s="300"/>
      <c r="C598" s="300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97"/>
      <c r="DH598" s="197"/>
      <c r="DI598" s="197"/>
      <c r="DJ598" s="10"/>
      <c r="DK598" s="10"/>
      <c r="DL598" s="10"/>
      <c r="DM598" s="10"/>
      <c r="DN598" s="10"/>
      <c r="DO598" s="10"/>
      <c r="DP598" s="10"/>
      <c r="DQ598" s="10"/>
      <c r="DR598" s="10"/>
    </row>
    <row r="599" spans="1:122" ht="15.75" customHeight="1">
      <c r="A599" s="300"/>
      <c r="B599" s="300"/>
      <c r="C599" s="300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97"/>
      <c r="DH599" s="197"/>
      <c r="DI599" s="197"/>
      <c r="DJ599" s="10"/>
      <c r="DK599" s="10"/>
      <c r="DL599" s="10"/>
      <c r="DM599" s="10"/>
      <c r="DN599" s="10"/>
      <c r="DO599" s="10"/>
      <c r="DP599" s="10"/>
      <c r="DQ599" s="10"/>
      <c r="DR599" s="10"/>
    </row>
    <row r="600" spans="1:122" ht="15.75" customHeight="1">
      <c r="A600" s="300"/>
      <c r="B600" s="300"/>
      <c r="C600" s="300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97"/>
      <c r="DH600" s="197"/>
      <c r="DI600" s="197"/>
      <c r="DJ600" s="10"/>
      <c r="DK600" s="10"/>
      <c r="DL600" s="10"/>
      <c r="DM600" s="10"/>
      <c r="DN600" s="10"/>
      <c r="DO600" s="10"/>
      <c r="DP600" s="10"/>
      <c r="DQ600" s="10"/>
      <c r="DR600" s="10"/>
    </row>
    <row r="601" spans="1:122" ht="15.75" customHeight="1">
      <c r="A601" s="300"/>
      <c r="B601" s="300"/>
      <c r="C601" s="300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97"/>
      <c r="DH601" s="197"/>
      <c r="DI601" s="197"/>
      <c r="DJ601" s="10"/>
      <c r="DK601" s="10"/>
      <c r="DL601" s="10"/>
      <c r="DM601" s="10"/>
      <c r="DN601" s="10"/>
      <c r="DO601" s="10"/>
      <c r="DP601" s="10"/>
      <c r="DQ601" s="10"/>
      <c r="DR601" s="10"/>
    </row>
    <row r="602" spans="1:122" ht="15.75" customHeight="1">
      <c r="A602" s="300"/>
      <c r="B602" s="300"/>
      <c r="C602" s="300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97"/>
      <c r="DH602" s="197"/>
      <c r="DI602" s="197"/>
      <c r="DJ602" s="10"/>
      <c r="DK602" s="10"/>
      <c r="DL602" s="10"/>
      <c r="DM602" s="10"/>
      <c r="DN602" s="10"/>
      <c r="DO602" s="10"/>
      <c r="DP602" s="10"/>
      <c r="DQ602" s="10"/>
      <c r="DR602" s="10"/>
    </row>
    <row r="603" spans="1:122" ht="15.75" customHeight="1">
      <c r="A603" s="300"/>
      <c r="B603" s="300"/>
      <c r="C603" s="300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97"/>
      <c r="DH603" s="197"/>
      <c r="DI603" s="197"/>
      <c r="DJ603" s="10"/>
      <c r="DK603" s="10"/>
      <c r="DL603" s="10"/>
      <c r="DM603" s="10"/>
      <c r="DN603" s="10"/>
      <c r="DO603" s="10"/>
      <c r="DP603" s="10"/>
      <c r="DQ603" s="10"/>
      <c r="DR603" s="10"/>
    </row>
    <row r="604" spans="1:122" ht="15.75" customHeight="1">
      <c r="A604" s="300"/>
      <c r="B604" s="300"/>
      <c r="C604" s="300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97"/>
      <c r="DH604" s="197"/>
      <c r="DI604" s="197"/>
      <c r="DJ604" s="10"/>
      <c r="DK604" s="10"/>
      <c r="DL604" s="10"/>
      <c r="DM604" s="10"/>
      <c r="DN604" s="10"/>
      <c r="DO604" s="10"/>
      <c r="DP604" s="10"/>
      <c r="DQ604" s="10"/>
      <c r="DR604" s="10"/>
    </row>
    <row r="605" spans="1:122" ht="15.75" customHeight="1">
      <c r="A605" s="300"/>
      <c r="B605" s="300"/>
      <c r="C605" s="300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97"/>
      <c r="DH605" s="197"/>
      <c r="DI605" s="197"/>
      <c r="DJ605" s="10"/>
      <c r="DK605" s="10"/>
      <c r="DL605" s="10"/>
      <c r="DM605" s="10"/>
      <c r="DN605" s="10"/>
      <c r="DO605" s="10"/>
      <c r="DP605" s="10"/>
      <c r="DQ605" s="10"/>
      <c r="DR605" s="10"/>
    </row>
    <row r="606" spans="1:122" ht="15.75" customHeight="1">
      <c r="A606" s="300"/>
      <c r="B606" s="300"/>
      <c r="C606" s="300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97"/>
      <c r="DH606" s="197"/>
      <c r="DI606" s="197"/>
      <c r="DJ606" s="10"/>
      <c r="DK606" s="10"/>
      <c r="DL606" s="10"/>
      <c r="DM606" s="10"/>
      <c r="DN606" s="10"/>
      <c r="DO606" s="10"/>
      <c r="DP606" s="10"/>
      <c r="DQ606" s="10"/>
      <c r="DR606" s="10"/>
    </row>
    <row r="607" spans="1:122" ht="15.75" customHeight="1">
      <c r="A607" s="300"/>
      <c r="B607" s="300"/>
      <c r="C607" s="300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97"/>
      <c r="DH607" s="197"/>
      <c r="DI607" s="197"/>
      <c r="DJ607" s="10"/>
      <c r="DK607" s="10"/>
      <c r="DL607" s="10"/>
      <c r="DM607" s="10"/>
      <c r="DN607" s="10"/>
      <c r="DO607" s="10"/>
      <c r="DP607" s="10"/>
      <c r="DQ607" s="10"/>
      <c r="DR607" s="10"/>
    </row>
    <row r="608" spans="1:122" ht="15.75" customHeight="1">
      <c r="A608" s="300"/>
      <c r="B608" s="300"/>
      <c r="C608" s="300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97"/>
      <c r="DH608" s="197"/>
      <c r="DI608" s="197"/>
      <c r="DJ608" s="10"/>
      <c r="DK608" s="10"/>
      <c r="DL608" s="10"/>
      <c r="DM608" s="10"/>
      <c r="DN608" s="10"/>
      <c r="DO608" s="10"/>
      <c r="DP608" s="10"/>
      <c r="DQ608" s="10"/>
      <c r="DR608" s="10"/>
    </row>
    <row r="609" spans="1:122" ht="15.75" customHeight="1">
      <c r="A609" s="300"/>
      <c r="B609" s="300"/>
      <c r="C609" s="300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97"/>
      <c r="DH609" s="197"/>
      <c r="DI609" s="197"/>
      <c r="DJ609" s="10"/>
      <c r="DK609" s="10"/>
      <c r="DL609" s="10"/>
      <c r="DM609" s="10"/>
      <c r="DN609" s="10"/>
      <c r="DO609" s="10"/>
      <c r="DP609" s="10"/>
      <c r="DQ609" s="10"/>
      <c r="DR609" s="10"/>
    </row>
    <row r="610" spans="1:122" ht="15.75" customHeight="1">
      <c r="A610" s="300"/>
      <c r="B610" s="300"/>
      <c r="C610" s="300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97"/>
      <c r="DH610" s="197"/>
      <c r="DI610" s="197"/>
      <c r="DJ610" s="10"/>
      <c r="DK610" s="10"/>
      <c r="DL610" s="10"/>
      <c r="DM610" s="10"/>
      <c r="DN610" s="10"/>
      <c r="DO610" s="10"/>
      <c r="DP610" s="10"/>
      <c r="DQ610" s="10"/>
      <c r="DR610" s="10"/>
    </row>
    <row r="611" spans="1:122" ht="15.75" customHeight="1">
      <c r="A611" s="300"/>
      <c r="B611" s="300"/>
      <c r="C611" s="300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97"/>
      <c r="DH611" s="197"/>
      <c r="DI611" s="197"/>
      <c r="DJ611" s="10"/>
      <c r="DK611" s="10"/>
      <c r="DL611" s="10"/>
      <c r="DM611" s="10"/>
      <c r="DN611" s="10"/>
      <c r="DO611" s="10"/>
      <c r="DP611" s="10"/>
      <c r="DQ611" s="10"/>
      <c r="DR611" s="10"/>
    </row>
    <row r="612" spans="1:122" ht="15.75" customHeight="1">
      <c r="A612" s="300"/>
      <c r="B612" s="300"/>
      <c r="C612" s="300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97"/>
      <c r="DH612" s="197"/>
      <c r="DI612" s="197"/>
      <c r="DJ612" s="10"/>
      <c r="DK612" s="10"/>
      <c r="DL612" s="10"/>
      <c r="DM612" s="10"/>
      <c r="DN612" s="10"/>
      <c r="DO612" s="10"/>
      <c r="DP612" s="10"/>
      <c r="DQ612" s="10"/>
      <c r="DR612" s="10"/>
    </row>
    <row r="613" spans="1:122" ht="15.75" customHeight="1">
      <c r="A613" s="300"/>
      <c r="B613" s="300"/>
      <c r="C613" s="300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97"/>
      <c r="DH613" s="197"/>
      <c r="DI613" s="197"/>
      <c r="DJ613" s="10"/>
      <c r="DK613" s="10"/>
      <c r="DL613" s="10"/>
      <c r="DM613" s="10"/>
      <c r="DN613" s="10"/>
      <c r="DO613" s="10"/>
      <c r="DP613" s="10"/>
      <c r="DQ613" s="10"/>
      <c r="DR613" s="10"/>
    </row>
    <row r="614" spans="1:122" ht="15.75" customHeight="1">
      <c r="A614" s="300"/>
      <c r="B614" s="300"/>
      <c r="C614" s="300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97"/>
      <c r="DH614" s="197"/>
      <c r="DI614" s="197"/>
      <c r="DJ614" s="10"/>
      <c r="DK614" s="10"/>
      <c r="DL614" s="10"/>
      <c r="DM614" s="10"/>
      <c r="DN614" s="10"/>
      <c r="DO614" s="10"/>
      <c r="DP614" s="10"/>
      <c r="DQ614" s="10"/>
      <c r="DR614" s="10"/>
    </row>
    <row r="615" spans="1:122" ht="15.75" customHeight="1">
      <c r="A615" s="300"/>
      <c r="B615" s="300"/>
      <c r="C615" s="300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97"/>
      <c r="DH615" s="197"/>
      <c r="DI615" s="197"/>
      <c r="DJ615" s="10"/>
      <c r="DK615" s="10"/>
      <c r="DL615" s="10"/>
      <c r="DM615" s="10"/>
      <c r="DN615" s="10"/>
      <c r="DO615" s="10"/>
      <c r="DP615" s="10"/>
      <c r="DQ615" s="10"/>
      <c r="DR615" s="10"/>
    </row>
    <row r="616" spans="1:122" ht="15.75" customHeight="1">
      <c r="A616" s="300"/>
      <c r="B616" s="300"/>
      <c r="C616" s="300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97"/>
      <c r="DH616" s="197"/>
      <c r="DI616" s="197"/>
      <c r="DJ616" s="10"/>
      <c r="DK616" s="10"/>
      <c r="DL616" s="10"/>
      <c r="DM616" s="10"/>
      <c r="DN616" s="10"/>
      <c r="DO616" s="10"/>
      <c r="DP616" s="10"/>
      <c r="DQ616" s="10"/>
      <c r="DR616" s="10"/>
    </row>
    <row r="617" spans="1:122" ht="15.75" customHeight="1">
      <c r="A617" s="300"/>
      <c r="B617" s="300"/>
      <c r="C617" s="300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97"/>
      <c r="DH617" s="197"/>
      <c r="DI617" s="197"/>
      <c r="DJ617" s="10"/>
      <c r="DK617" s="10"/>
      <c r="DL617" s="10"/>
      <c r="DM617" s="10"/>
      <c r="DN617" s="10"/>
      <c r="DO617" s="10"/>
      <c r="DP617" s="10"/>
      <c r="DQ617" s="10"/>
      <c r="DR617" s="10"/>
    </row>
    <row r="618" spans="1:122" ht="15.75" customHeight="1">
      <c r="A618" s="300"/>
      <c r="B618" s="300"/>
      <c r="C618" s="300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97"/>
      <c r="DH618" s="197"/>
      <c r="DI618" s="197"/>
      <c r="DJ618" s="10"/>
      <c r="DK618" s="10"/>
      <c r="DL618" s="10"/>
      <c r="DM618" s="10"/>
      <c r="DN618" s="10"/>
      <c r="DO618" s="10"/>
      <c r="DP618" s="10"/>
      <c r="DQ618" s="10"/>
      <c r="DR618" s="10"/>
    </row>
    <row r="619" spans="1:122" ht="15.75" customHeight="1">
      <c r="A619" s="300"/>
      <c r="B619" s="300"/>
      <c r="C619" s="300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97"/>
      <c r="DH619" s="197"/>
      <c r="DI619" s="197"/>
      <c r="DJ619" s="10"/>
      <c r="DK619" s="10"/>
      <c r="DL619" s="10"/>
      <c r="DM619" s="10"/>
      <c r="DN619" s="10"/>
      <c r="DO619" s="10"/>
      <c r="DP619" s="10"/>
      <c r="DQ619" s="10"/>
      <c r="DR619" s="10"/>
    </row>
    <row r="620" spans="1:122" ht="15.75" customHeight="1">
      <c r="A620" s="300"/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97"/>
      <c r="DH620" s="197"/>
      <c r="DI620" s="197"/>
      <c r="DJ620" s="10"/>
      <c r="DK620" s="10"/>
      <c r="DL620" s="10"/>
      <c r="DM620" s="10"/>
      <c r="DN620" s="10"/>
      <c r="DO620" s="10"/>
      <c r="DP620" s="10"/>
      <c r="DQ620" s="10"/>
      <c r="DR620" s="10"/>
    </row>
    <row r="621" spans="1:122" ht="15.75" customHeight="1">
      <c r="A621" s="300"/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97"/>
      <c r="DH621" s="197"/>
      <c r="DI621" s="197"/>
      <c r="DJ621" s="10"/>
      <c r="DK621" s="10"/>
      <c r="DL621" s="10"/>
      <c r="DM621" s="10"/>
      <c r="DN621" s="10"/>
      <c r="DO621" s="10"/>
      <c r="DP621" s="10"/>
      <c r="DQ621" s="10"/>
      <c r="DR621" s="10"/>
    </row>
    <row r="622" spans="1:122" ht="15.75" customHeight="1">
      <c r="A622" s="300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97"/>
      <c r="DH622" s="197"/>
      <c r="DI622" s="197"/>
      <c r="DJ622" s="10"/>
      <c r="DK622" s="10"/>
      <c r="DL622" s="10"/>
      <c r="DM622" s="10"/>
      <c r="DN622" s="10"/>
      <c r="DO622" s="10"/>
      <c r="DP622" s="10"/>
      <c r="DQ622" s="10"/>
      <c r="DR622" s="10"/>
    </row>
    <row r="623" spans="1:122" ht="15.75" customHeight="1">
      <c r="A623" s="300"/>
      <c r="B623" s="300"/>
      <c r="C623" s="300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97"/>
      <c r="DH623" s="197"/>
      <c r="DI623" s="197"/>
      <c r="DJ623" s="10"/>
      <c r="DK623" s="10"/>
      <c r="DL623" s="10"/>
      <c r="DM623" s="10"/>
      <c r="DN623" s="10"/>
      <c r="DO623" s="10"/>
      <c r="DP623" s="10"/>
      <c r="DQ623" s="10"/>
      <c r="DR623" s="10"/>
    </row>
    <row r="624" spans="1:122" ht="15.75" customHeight="1">
      <c r="A624" s="300"/>
      <c r="B624" s="300"/>
      <c r="C624" s="300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97"/>
      <c r="DH624" s="197"/>
      <c r="DI624" s="197"/>
      <c r="DJ624" s="10"/>
      <c r="DK624" s="10"/>
      <c r="DL624" s="10"/>
      <c r="DM624" s="10"/>
      <c r="DN624" s="10"/>
      <c r="DO624" s="10"/>
      <c r="DP624" s="10"/>
      <c r="DQ624" s="10"/>
      <c r="DR624" s="10"/>
    </row>
    <row r="625" spans="1:122" ht="15.75" customHeight="1">
      <c r="A625" s="300"/>
      <c r="B625" s="300"/>
      <c r="C625" s="300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97"/>
      <c r="DH625" s="197"/>
      <c r="DI625" s="197"/>
      <c r="DJ625" s="10"/>
      <c r="DK625" s="10"/>
      <c r="DL625" s="10"/>
      <c r="DM625" s="10"/>
      <c r="DN625" s="10"/>
      <c r="DO625" s="10"/>
      <c r="DP625" s="10"/>
      <c r="DQ625" s="10"/>
      <c r="DR625" s="10"/>
    </row>
    <row r="626" spans="1:122" ht="15.75" customHeight="1">
      <c r="A626" s="300"/>
      <c r="B626" s="300"/>
      <c r="C626" s="300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97"/>
      <c r="DH626" s="197"/>
      <c r="DI626" s="197"/>
      <c r="DJ626" s="10"/>
      <c r="DK626" s="10"/>
      <c r="DL626" s="10"/>
      <c r="DM626" s="10"/>
      <c r="DN626" s="10"/>
      <c r="DO626" s="10"/>
      <c r="DP626" s="10"/>
      <c r="DQ626" s="10"/>
      <c r="DR626" s="10"/>
    </row>
    <row r="627" spans="1:122" ht="15.75" customHeight="1">
      <c r="A627" s="300"/>
      <c r="B627" s="300"/>
      <c r="C627" s="300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97"/>
      <c r="DH627" s="197"/>
      <c r="DI627" s="197"/>
      <c r="DJ627" s="10"/>
      <c r="DK627" s="10"/>
      <c r="DL627" s="10"/>
      <c r="DM627" s="10"/>
      <c r="DN627" s="10"/>
      <c r="DO627" s="10"/>
      <c r="DP627" s="10"/>
      <c r="DQ627" s="10"/>
      <c r="DR627" s="10"/>
    </row>
    <row r="628" spans="1:122" ht="15.75" customHeight="1">
      <c r="A628" s="300"/>
      <c r="B628" s="300"/>
      <c r="C628" s="300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97"/>
      <c r="DH628" s="197"/>
      <c r="DI628" s="197"/>
      <c r="DJ628" s="10"/>
      <c r="DK628" s="10"/>
      <c r="DL628" s="10"/>
      <c r="DM628" s="10"/>
      <c r="DN628" s="10"/>
      <c r="DO628" s="10"/>
      <c r="DP628" s="10"/>
      <c r="DQ628" s="10"/>
      <c r="DR628" s="10"/>
    </row>
    <row r="629" spans="1:122" ht="15.75" customHeight="1">
      <c r="A629" s="300"/>
      <c r="B629" s="300"/>
      <c r="C629" s="300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97"/>
      <c r="DH629" s="197"/>
      <c r="DI629" s="197"/>
      <c r="DJ629" s="10"/>
      <c r="DK629" s="10"/>
      <c r="DL629" s="10"/>
      <c r="DM629" s="10"/>
      <c r="DN629" s="10"/>
      <c r="DO629" s="10"/>
      <c r="DP629" s="10"/>
      <c r="DQ629" s="10"/>
      <c r="DR629" s="10"/>
    </row>
    <row r="630" spans="1:122" ht="15.75" customHeight="1">
      <c r="A630" s="300"/>
      <c r="B630" s="300"/>
      <c r="C630" s="300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97"/>
      <c r="DH630" s="197"/>
      <c r="DI630" s="197"/>
      <c r="DJ630" s="10"/>
      <c r="DK630" s="10"/>
      <c r="DL630" s="10"/>
      <c r="DM630" s="10"/>
      <c r="DN630" s="10"/>
      <c r="DO630" s="10"/>
      <c r="DP630" s="10"/>
      <c r="DQ630" s="10"/>
      <c r="DR630" s="10"/>
    </row>
    <row r="631" spans="1:122" ht="15.75" customHeight="1">
      <c r="A631" s="300"/>
      <c r="B631" s="300"/>
      <c r="C631" s="300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97"/>
      <c r="DH631" s="197"/>
      <c r="DI631" s="197"/>
      <c r="DJ631" s="10"/>
      <c r="DK631" s="10"/>
      <c r="DL631" s="10"/>
      <c r="DM631" s="10"/>
      <c r="DN631" s="10"/>
      <c r="DO631" s="10"/>
      <c r="DP631" s="10"/>
      <c r="DQ631" s="10"/>
      <c r="DR631" s="10"/>
    </row>
    <row r="632" spans="1:122" ht="15.75" customHeight="1">
      <c r="A632" s="300"/>
      <c r="B632" s="300"/>
      <c r="C632" s="300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97"/>
      <c r="DH632" s="197"/>
      <c r="DI632" s="197"/>
      <c r="DJ632" s="10"/>
      <c r="DK632" s="10"/>
      <c r="DL632" s="10"/>
      <c r="DM632" s="10"/>
      <c r="DN632" s="10"/>
      <c r="DO632" s="10"/>
      <c r="DP632" s="10"/>
      <c r="DQ632" s="10"/>
      <c r="DR632" s="10"/>
    </row>
    <row r="633" spans="1:122" ht="15.75" customHeight="1">
      <c r="A633" s="300"/>
      <c r="B633" s="300"/>
      <c r="C633" s="300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97"/>
      <c r="DH633" s="197"/>
      <c r="DI633" s="197"/>
      <c r="DJ633" s="10"/>
      <c r="DK633" s="10"/>
      <c r="DL633" s="10"/>
      <c r="DM633" s="10"/>
      <c r="DN633" s="10"/>
      <c r="DO633" s="10"/>
      <c r="DP633" s="10"/>
      <c r="DQ633" s="10"/>
      <c r="DR633" s="10"/>
    </row>
    <row r="634" spans="1:122" ht="15.75" customHeight="1">
      <c r="A634" s="300"/>
      <c r="B634" s="300"/>
      <c r="C634" s="300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97"/>
      <c r="DH634" s="197"/>
      <c r="DI634" s="197"/>
      <c r="DJ634" s="10"/>
      <c r="DK634" s="10"/>
      <c r="DL634" s="10"/>
      <c r="DM634" s="10"/>
      <c r="DN634" s="10"/>
      <c r="DO634" s="10"/>
      <c r="DP634" s="10"/>
      <c r="DQ634" s="10"/>
      <c r="DR634" s="10"/>
    </row>
    <row r="635" spans="1:122" ht="15.75" customHeight="1">
      <c r="A635" s="300"/>
      <c r="B635" s="300"/>
      <c r="C635" s="300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97"/>
      <c r="DH635" s="197"/>
      <c r="DI635" s="197"/>
      <c r="DJ635" s="10"/>
      <c r="DK635" s="10"/>
      <c r="DL635" s="10"/>
      <c r="DM635" s="10"/>
      <c r="DN635" s="10"/>
      <c r="DO635" s="10"/>
      <c r="DP635" s="10"/>
      <c r="DQ635" s="10"/>
      <c r="DR635" s="10"/>
    </row>
    <row r="636" spans="1:122" ht="15.75" customHeight="1">
      <c r="A636" s="300"/>
      <c r="B636" s="300"/>
      <c r="C636" s="300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97"/>
      <c r="DH636" s="197"/>
      <c r="DI636" s="197"/>
      <c r="DJ636" s="10"/>
      <c r="DK636" s="10"/>
      <c r="DL636" s="10"/>
      <c r="DM636" s="10"/>
      <c r="DN636" s="10"/>
      <c r="DO636" s="10"/>
      <c r="DP636" s="10"/>
      <c r="DQ636" s="10"/>
      <c r="DR636" s="10"/>
    </row>
    <row r="637" spans="1:122" ht="15.75" customHeight="1">
      <c r="A637" s="300"/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97"/>
      <c r="DH637" s="197"/>
      <c r="DI637" s="197"/>
      <c r="DJ637" s="10"/>
      <c r="DK637" s="10"/>
      <c r="DL637" s="10"/>
      <c r="DM637" s="10"/>
      <c r="DN637" s="10"/>
      <c r="DO637" s="10"/>
      <c r="DP637" s="10"/>
      <c r="DQ637" s="10"/>
      <c r="DR637" s="10"/>
    </row>
    <row r="638" spans="1:122" ht="15.75" customHeight="1">
      <c r="A638" s="300"/>
      <c r="B638" s="300"/>
      <c r="C638" s="300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97"/>
      <c r="DH638" s="197"/>
      <c r="DI638" s="197"/>
      <c r="DJ638" s="10"/>
      <c r="DK638" s="10"/>
      <c r="DL638" s="10"/>
      <c r="DM638" s="10"/>
      <c r="DN638" s="10"/>
      <c r="DO638" s="10"/>
      <c r="DP638" s="10"/>
      <c r="DQ638" s="10"/>
      <c r="DR638" s="10"/>
    </row>
    <row r="639" spans="1:122" ht="15.75" customHeight="1">
      <c r="A639" s="300"/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97"/>
      <c r="DH639" s="197"/>
      <c r="DI639" s="197"/>
      <c r="DJ639" s="10"/>
      <c r="DK639" s="10"/>
      <c r="DL639" s="10"/>
      <c r="DM639" s="10"/>
      <c r="DN639" s="10"/>
      <c r="DO639" s="10"/>
      <c r="DP639" s="10"/>
      <c r="DQ639" s="10"/>
      <c r="DR639" s="10"/>
    </row>
    <row r="640" spans="1:122" ht="15.75" customHeight="1">
      <c r="A640" s="300"/>
      <c r="B640" s="300"/>
      <c r="C640" s="300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97"/>
      <c r="DH640" s="197"/>
      <c r="DI640" s="197"/>
      <c r="DJ640" s="10"/>
      <c r="DK640" s="10"/>
      <c r="DL640" s="10"/>
      <c r="DM640" s="10"/>
      <c r="DN640" s="10"/>
      <c r="DO640" s="10"/>
      <c r="DP640" s="10"/>
      <c r="DQ640" s="10"/>
      <c r="DR640" s="10"/>
    </row>
    <row r="641" spans="1:122" ht="15.75" customHeight="1">
      <c r="A641" s="300"/>
      <c r="B641" s="300"/>
      <c r="C641" s="300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97"/>
      <c r="DH641" s="197"/>
      <c r="DI641" s="197"/>
      <c r="DJ641" s="10"/>
      <c r="DK641" s="10"/>
      <c r="DL641" s="10"/>
      <c r="DM641" s="10"/>
      <c r="DN641" s="10"/>
      <c r="DO641" s="10"/>
      <c r="DP641" s="10"/>
      <c r="DQ641" s="10"/>
      <c r="DR641" s="10"/>
    </row>
    <row r="642" spans="1:122" ht="15.75" customHeight="1">
      <c r="A642" s="300"/>
      <c r="B642" s="300"/>
      <c r="C642" s="300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97"/>
      <c r="DH642" s="197"/>
      <c r="DI642" s="197"/>
      <c r="DJ642" s="10"/>
      <c r="DK642" s="10"/>
      <c r="DL642" s="10"/>
      <c r="DM642" s="10"/>
      <c r="DN642" s="10"/>
      <c r="DO642" s="10"/>
      <c r="DP642" s="10"/>
      <c r="DQ642" s="10"/>
      <c r="DR642" s="10"/>
    </row>
    <row r="643" spans="1:122" ht="15.75" customHeight="1">
      <c r="A643" s="300"/>
      <c r="B643" s="300"/>
      <c r="C643" s="300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97"/>
      <c r="DH643" s="197"/>
      <c r="DI643" s="197"/>
      <c r="DJ643" s="10"/>
      <c r="DK643" s="10"/>
      <c r="DL643" s="10"/>
      <c r="DM643" s="10"/>
      <c r="DN643" s="10"/>
      <c r="DO643" s="10"/>
      <c r="DP643" s="10"/>
      <c r="DQ643" s="10"/>
      <c r="DR643" s="10"/>
    </row>
    <row r="644" spans="1:122" ht="15.75" customHeight="1">
      <c r="A644" s="300"/>
      <c r="B644" s="300"/>
      <c r="C644" s="300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97"/>
      <c r="DH644" s="197"/>
      <c r="DI644" s="197"/>
      <c r="DJ644" s="10"/>
      <c r="DK644" s="10"/>
      <c r="DL644" s="10"/>
      <c r="DM644" s="10"/>
      <c r="DN644" s="10"/>
      <c r="DO644" s="10"/>
      <c r="DP644" s="10"/>
      <c r="DQ644" s="10"/>
      <c r="DR644" s="10"/>
    </row>
    <row r="645" spans="1:122" ht="15.75" customHeight="1">
      <c r="A645" s="300"/>
      <c r="B645" s="300"/>
      <c r="C645" s="300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97"/>
      <c r="DH645" s="197"/>
      <c r="DI645" s="197"/>
      <c r="DJ645" s="10"/>
      <c r="DK645" s="10"/>
      <c r="DL645" s="10"/>
      <c r="DM645" s="10"/>
      <c r="DN645" s="10"/>
      <c r="DO645" s="10"/>
      <c r="DP645" s="10"/>
      <c r="DQ645" s="10"/>
      <c r="DR645" s="10"/>
    </row>
    <row r="646" spans="1:122" ht="15.75" customHeight="1">
      <c r="A646" s="300"/>
      <c r="B646" s="300"/>
      <c r="C646" s="300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97"/>
      <c r="DH646" s="197"/>
      <c r="DI646" s="197"/>
      <c r="DJ646" s="10"/>
      <c r="DK646" s="10"/>
      <c r="DL646" s="10"/>
      <c r="DM646" s="10"/>
      <c r="DN646" s="10"/>
      <c r="DO646" s="10"/>
      <c r="DP646" s="10"/>
      <c r="DQ646" s="10"/>
      <c r="DR646" s="10"/>
    </row>
    <row r="647" spans="1:122" ht="15.75" customHeight="1">
      <c r="A647" s="300"/>
      <c r="B647" s="300"/>
      <c r="C647" s="300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97"/>
      <c r="DH647" s="197"/>
      <c r="DI647" s="197"/>
      <c r="DJ647" s="10"/>
      <c r="DK647" s="10"/>
      <c r="DL647" s="10"/>
      <c r="DM647" s="10"/>
      <c r="DN647" s="10"/>
      <c r="DO647" s="10"/>
      <c r="DP647" s="10"/>
      <c r="DQ647" s="10"/>
      <c r="DR647" s="10"/>
    </row>
    <row r="648" spans="1:122" ht="15.75" customHeight="1">
      <c r="A648" s="300"/>
      <c r="B648" s="300"/>
      <c r="C648" s="300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97"/>
      <c r="DH648" s="197"/>
      <c r="DI648" s="197"/>
      <c r="DJ648" s="10"/>
      <c r="DK648" s="10"/>
      <c r="DL648" s="10"/>
      <c r="DM648" s="10"/>
      <c r="DN648" s="10"/>
      <c r="DO648" s="10"/>
      <c r="DP648" s="10"/>
      <c r="DQ648" s="10"/>
      <c r="DR648" s="10"/>
    </row>
    <row r="649" spans="1:122" ht="15.75" customHeight="1">
      <c r="A649" s="300"/>
      <c r="B649" s="300"/>
      <c r="C649" s="300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97"/>
      <c r="DH649" s="197"/>
      <c r="DI649" s="197"/>
      <c r="DJ649" s="10"/>
      <c r="DK649" s="10"/>
      <c r="DL649" s="10"/>
      <c r="DM649" s="10"/>
      <c r="DN649" s="10"/>
      <c r="DO649" s="10"/>
      <c r="DP649" s="10"/>
      <c r="DQ649" s="10"/>
      <c r="DR649" s="10"/>
    </row>
    <row r="650" spans="1:122" ht="15.75" customHeight="1">
      <c r="A650" s="300"/>
      <c r="B650" s="300"/>
      <c r="C650" s="300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97"/>
      <c r="DH650" s="197"/>
      <c r="DI650" s="197"/>
      <c r="DJ650" s="10"/>
      <c r="DK650" s="10"/>
      <c r="DL650" s="10"/>
      <c r="DM650" s="10"/>
      <c r="DN650" s="10"/>
      <c r="DO650" s="10"/>
      <c r="DP650" s="10"/>
      <c r="DQ650" s="10"/>
      <c r="DR650" s="10"/>
    </row>
    <row r="651" spans="1:122" ht="15.75" customHeight="1">
      <c r="A651" s="300"/>
      <c r="B651" s="300"/>
      <c r="C651" s="300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97"/>
      <c r="DH651" s="197"/>
      <c r="DI651" s="197"/>
      <c r="DJ651" s="10"/>
      <c r="DK651" s="10"/>
      <c r="DL651" s="10"/>
      <c r="DM651" s="10"/>
      <c r="DN651" s="10"/>
      <c r="DO651" s="10"/>
      <c r="DP651" s="10"/>
      <c r="DQ651" s="10"/>
      <c r="DR651" s="10"/>
    </row>
    <row r="652" spans="1:122" ht="15.75" customHeight="1">
      <c r="A652" s="300"/>
      <c r="B652" s="300"/>
      <c r="C652" s="300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97"/>
      <c r="DH652" s="197"/>
      <c r="DI652" s="197"/>
      <c r="DJ652" s="10"/>
      <c r="DK652" s="10"/>
      <c r="DL652" s="10"/>
      <c r="DM652" s="10"/>
      <c r="DN652" s="10"/>
      <c r="DO652" s="10"/>
      <c r="DP652" s="10"/>
      <c r="DQ652" s="10"/>
      <c r="DR652" s="10"/>
    </row>
    <row r="653" spans="1:122" ht="15.75" customHeight="1">
      <c r="A653" s="300"/>
      <c r="B653" s="300"/>
      <c r="C653" s="300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97"/>
      <c r="DH653" s="197"/>
      <c r="DI653" s="197"/>
      <c r="DJ653" s="10"/>
      <c r="DK653" s="10"/>
      <c r="DL653" s="10"/>
      <c r="DM653" s="10"/>
      <c r="DN653" s="10"/>
      <c r="DO653" s="10"/>
      <c r="DP653" s="10"/>
      <c r="DQ653" s="10"/>
      <c r="DR653" s="10"/>
    </row>
    <row r="654" spans="1:122" ht="15.75" customHeight="1">
      <c r="A654" s="300"/>
      <c r="B654" s="300"/>
      <c r="C654" s="300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97"/>
      <c r="DH654" s="197"/>
      <c r="DI654" s="197"/>
      <c r="DJ654" s="10"/>
      <c r="DK654" s="10"/>
      <c r="DL654" s="10"/>
      <c r="DM654" s="10"/>
      <c r="DN654" s="10"/>
      <c r="DO654" s="10"/>
      <c r="DP654" s="10"/>
      <c r="DQ654" s="10"/>
      <c r="DR654" s="10"/>
    </row>
    <row r="655" spans="1:122" ht="15.75" customHeight="1">
      <c r="A655" s="300"/>
      <c r="B655" s="300"/>
      <c r="C655" s="300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97"/>
      <c r="DH655" s="197"/>
      <c r="DI655" s="197"/>
      <c r="DJ655" s="10"/>
      <c r="DK655" s="10"/>
      <c r="DL655" s="10"/>
      <c r="DM655" s="10"/>
      <c r="DN655" s="10"/>
      <c r="DO655" s="10"/>
      <c r="DP655" s="10"/>
      <c r="DQ655" s="10"/>
      <c r="DR655" s="10"/>
    </row>
    <row r="656" spans="1:122" ht="15.75" customHeight="1">
      <c r="A656" s="300"/>
      <c r="B656" s="300"/>
      <c r="C656" s="300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97"/>
      <c r="DH656" s="197"/>
      <c r="DI656" s="197"/>
      <c r="DJ656" s="10"/>
      <c r="DK656" s="10"/>
      <c r="DL656" s="10"/>
      <c r="DM656" s="10"/>
      <c r="DN656" s="10"/>
      <c r="DO656" s="10"/>
      <c r="DP656" s="10"/>
      <c r="DQ656" s="10"/>
      <c r="DR656" s="10"/>
    </row>
    <row r="657" spans="1:122" ht="15.75" customHeight="1">
      <c r="A657" s="300"/>
      <c r="B657" s="300"/>
      <c r="C657" s="300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97"/>
      <c r="DH657" s="197"/>
      <c r="DI657" s="197"/>
      <c r="DJ657" s="10"/>
      <c r="DK657" s="10"/>
      <c r="DL657" s="10"/>
      <c r="DM657" s="10"/>
      <c r="DN657" s="10"/>
      <c r="DO657" s="10"/>
      <c r="DP657" s="10"/>
      <c r="DQ657" s="10"/>
      <c r="DR657" s="10"/>
    </row>
    <row r="658" spans="1:122" ht="15.75" customHeight="1">
      <c r="A658" s="300"/>
      <c r="B658" s="300"/>
      <c r="C658" s="300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97"/>
      <c r="DH658" s="197"/>
      <c r="DI658" s="197"/>
      <c r="DJ658" s="10"/>
      <c r="DK658" s="10"/>
      <c r="DL658" s="10"/>
      <c r="DM658" s="10"/>
      <c r="DN658" s="10"/>
      <c r="DO658" s="10"/>
      <c r="DP658" s="10"/>
      <c r="DQ658" s="10"/>
      <c r="DR658" s="10"/>
    </row>
    <row r="659" spans="1:122" ht="15.75" customHeight="1">
      <c r="A659" s="300"/>
      <c r="B659" s="300"/>
      <c r="C659" s="300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97"/>
      <c r="DH659" s="197"/>
      <c r="DI659" s="197"/>
      <c r="DJ659" s="10"/>
      <c r="DK659" s="10"/>
      <c r="DL659" s="10"/>
      <c r="DM659" s="10"/>
      <c r="DN659" s="10"/>
      <c r="DO659" s="10"/>
      <c r="DP659" s="10"/>
      <c r="DQ659" s="10"/>
      <c r="DR659" s="10"/>
    </row>
    <row r="660" spans="1:122" ht="15.75" customHeight="1">
      <c r="A660" s="300"/>
      <c r="B660" s="300"/>
      <c r="C660" s="300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97"/>
      <c r="DH660" s="197"/>
      <c r="DI660" s="197"/>
      <c r="DJ660" s="10"/>
      <c r="DK660" s="10"/>
      <c r="DL660" s="10"/>
      <c r="DM660" s="10"/>
      <c r="DN660" s="10"/>
      <c r="DO660" s="10"/>
      <c r="DP660" s="10"/>
      <c r="DQ660" s="10"/>
      <c r="DR660" s="10"/>
    </row>
    <row r="661" spans="1:122" ht="15.75" customHeight="1">
      <c r="A661" s="300"/>
      <c r="B661" s="300"/>
      <c r="C661" s="300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97"/>
      <c r="DH661" s="197"/>
      <c r="DI661" s="197"/>
      <c r="DJ661" s="10"/>
      <c r="DK661" s="10"/>
      <c r="DL661" s="10"/>
      <c r="DM661" s="10"/>
      <c r="DN661" s="10"/>
      <c r="DO661" s="10"/>
      <c r="DP661" s="10"/>
      <c r="DQ661" s="10"/>
      <c r="DR661" s="10"/>
    </row>
    <row r="662" spans="1:122" ht="15.75" customHeight="1">
      <c r="A662" s="300"/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97"/>
      <c r="DH662" s="197"/>
      <c r="DI662" s="197"/>
      <c r="DJ662" s="10"/>
      <c r="DK662" s="10"/>
      <c r="DL662" s="10"/>
      <c r="DM662" s="10"/>
      <c r="DN662" s="10"/>
      <c r="DO662" s="10"/>
      <c r="DP662" s="10"/>
      <c r="DQ662" s="10"/>
      <c r="DR662" s="10"/>
    </row>
    <row r="663" spans="1:122" ht="15.75" customHeight="1">
      <c r="A663" s="300"/>
      <c r="B663" s="300"/>
      <c r="C663" s="300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97"/>
      <c r="DH663" s="197"/>
      <c r="DI663" s="197"/>
      <c r="DJ663" s="10"/>
      <c r="DK663" s="10"/>
      <c r="DL663" s="10"/>
      <c r="DM663" s="10"/>
      <c r="DN663" s="10"/>
      <c r="DO663" s="10"/>
      <c r="DP663" s="10"/>
      <c r="DQ663" s="10"/>
      <c r="DR663" s="10"/>
    </row>
    <row r="664" spans="1:122" ht="15.75" customHeight="1">
      <c r="A664" s="300"/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97"/>
      <c r="DH664" s="197"/>
      <c r="DI664" s="197"/>
      <c r="DJ664" s="10"/>
      <c r="DK664" s="10"/>
      <c r="DL664" s="10"/>
      <c r="DM664" s="10"/>
      <c r="DN664" s="10"/>
      <c r="DO664" s="10"/>
      <c r="DP664" s="10"/>
      <c r="DQ664" s="10"/>
      <c r="DR664" s="10"/>
    </row>
    <row r="665" spans="1:122" ht="15.75" customHeight="1">
      <c r="A665" s="300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97"/>
      <c r="DH665" s="197"/>
      <c r="DI665" s="197"/>
      <c r="DJ665" s="10"/>
      <c r="DK665" s="10"/>
      <c r="DL665" s="10"/>
      <c r="DM665" s="10"/>
      <c r="DN665" s="10"/>
      <c r="DO665" s="10"/>
      <c r="DP665" s="10"/>
      <c r="DQ665" s="10"/>
      <c r="DR665" s="10"/>
    </row>
    <row r="666" spans="1:122" ht="15.75" customHeight="1">
      <c r="A666" s="300"/>
      <c r="B666" s="300"/>
      <c r="C666" s="300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97"/>
      <c r="DH666" s="197"/>
      <c r="DI666" s="197"/>
      <c r="DJ666" s="10"/>
      <c r="DK666" s="10"/>
      <c r="DL666" s="10"/>
      <c r="DM666" s="10"/>
      <c r="DN666" s="10"/>
      <c r="DO666" s="10"/>
      <c r="DP666" s="10"/>
      <c r="DQ666" s="10"/>
      <c r="DR666" s="10"/>
    </row>
    <row r="667" spans="1:122" ht="15.75" customHeight="1">
      <c r="A667" s="300"/>
      <c r="B667" s="300"/>
      <c r="C667" s="300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97"/>
      <c r="DH667" s="197"/>
      <c r="DI667" s="197"/>
      <c r="DJ667" s="10"/>
      <c r="DK667" s="10"/>
      <c r="DL667" s="10"/>
      <c r="DM667" s="10"/>
      <c r="DN667" s="10"/>
      <c r="DO667" s="10"/>
      <c r="DP667" s="10"/>
      <c r="DQ667" s="10"/>
      <c r="DR667" s="10"/>
    </row>
    <row r="668" spans="1:122" ht="15.75" customHeight="1">
      <c r="A668" s="300"/>
      <c r="B668" s="300"/>
      <c r="C668" s="300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97"/>
      <c r="DH668" s="197"/>
      <c r="DI668" s="197"/>
      <c r="DJ668" s="10"/>
      <c r="DK668" s="10"/>
      <c r="DL668" s="10"/>
      <c r="DM668" s="10"/>
      <c r="DN668" s="10"/>
      <c r="DO668" s="10"/>
      <c r="DP668" s="10"/>
      <c r="DQ668" s="10"/>
      <c r="DR668" s="10"/>
    </row>
    <row r="669" spans="1:122" ht="15.75" customHeight="1">
      <c r="A669" s="300"/>
      <c r="B669" s="300"/>
      <c r="C669" s="300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97"/>
      <c r="DH669" s="197"/>
      <c r="DI669" s="197"/>
      <c r="DJ669" s="10"/>
      <c r="DK669" s="10"/>
      <c r="DL669" s="10"/>
      <c r="DM669" s="10"/>
      <c r="DN669" s="10"/>
      <c r="DO669" s="10"/>
      <c r="DP669" s="10"/>
      <c r="DQ669" s="10"/>
      <c r="DR669" s="10"/>
    </row>
    <row r="670" spans="1:122" ht="15.75" customHeight="1">
      <c r="A670" s="300"/>
      <c r="B670" s="300"/>
      <c r="C670" s="300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97"/>
      <c r="DH670" s="197"/>
      <c r="DI670" s="197"/>
      <c r="DJ670" s="10"/>
      <c r="DK670" s="10"/>
      <c r="DL670" s="10"/>
      <c r="DM670" s="10"/>
      <c r="DN670" s="10"/>
      <c r="DO670" s="10"/>
      <c r="DP670" s="10"/>
      <c r="DQ670" s="10"/>
      <c r="DR670" s="10"/>
    </row>
    <row r="671" spans="1:122" ht="15.75" customHeight="1">
      <c r="A671" s="300"/>
      <c r="B671" s="300"/>
      <c r="C671" s="300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97"/>
      <c r="DH671" s="197"/>
      <c r="DI671" s="197"/>
      <c r="DJ671" s="10"/>
      <c r="DK671" s="10"/>
      <c r="DL671" s="10"/>
      <c r="DM671" s="10"/>
      <c r="DN671" s="10"/>
      <c r="DO671" s="10"/>
      <c r="DP671" s="10"/>
      <c r="DQ671" s="10"/>
      <c r="DR671" s="10"/>
    </row>
    <row r="672" spans="1:122" ht="15.75" customHeight="1">
      <c r="A672" s="300"/>
      <c r="B672" s="300"/>
      <c r="C672" s="300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97"/>
      <c r="DH672" s="197"/>
      <c r="DI672" s="197"/>
      <c r="DJ672" s="10"/>
      <c r="DK672" s="10"/>
      <c r="DL672" s="10"/>
      <c r="DM672" s="10"/>
      <c r="DN672" s="10"/>
      <c r="DO672" s="10"/>
      <c r="DP672" s="10"/>
      <c r="DQ672" s="10"/>
      <c r="DR672" s="10"/>
    </row>
    <row r="673" spans="1:122" ht="15.75" customHeight="1">
      <c r="A673" s="300"/>
      <c r="B673" s="300"/>
      <c r="C673" s="300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97"/>
      <c r="DH673" s="197"/>
      <c r="DI673" s="197"/>
      <c r="DJ673" s="10"/>
      <c r="DK673" s="10"/>
      <c r="DL673" s="10"/>
      <c r="DM673" s="10"/>
      <c r="DN673" s="10"/>
      <c r="DO673" s="10"/>
      <c r="DP673" s="10"/>
      <c r="DQ673" s="10"/>
      <c r="DR673" s="10"/>
    </row>
    <row r="674" spans="1:122" ht="15.75" customHeight="1">
      <c r="A674" s="300"/>
      <c r="B674" s="300"/>
      <c r="C674" s="300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97"/>
      <c r="DH674" s="197"/>
      <c r="DI674" s="197"/>
      <c r="DJ674" s="10"/>
      <c r="DK674" s="10"/>
      <c r="DL674" s="10"/>
      <c r="DM674" s="10"/>
      <c r="DN674" s="10"/>
      <c r="DO674" s="10"/>
      <c r="DP674" s="10"/>
      <c r="DQ674" s="10"/>
      <c r="DR674" s="10"/>
    </row>
    <row r="675" spans="1:122" ht="15.75" customHeight="1">
      <c r="A675" s="300"/>
      <c r="B675" s="300"/>
      <c r="C675" s="300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97"/>
      <c r="DH675" s="197"/>
      <c r="DI675" s="197"/>
      <c r="DJ675" s="10"/>
      <c r="DK675" s="10"/>
      <c r="DL675" s="10"/>
      <c r="DM675" s="10"/>
      <c r="DN675" s="10"/>
      <c r="DO675" s="10"/>
      <c r="DP675" s="10"/>
      <c r="DQ675" s="10"/>
      <c r="DR675" s="10"/>
    </row>
    <row r="676" spans="1:122" ht="15.75" customHeight="1">
      <c r="A676" s="300"/>
      <c r="B676" s="300"/>
      <c r="C676" s="300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97"/>
      <c r="DH676" s="197"/>
      <c r="DI676" s="197"/>
      <c r="DJ676" s="10"/>
      <c r="DK676" s="10"/>
      <c r="DL676" s="10"/>
      <c r="DM676" s="10"/>
      <c r="DN676" s="10"/>
      <c r="DO676" s="10"/>
      <c r="DP676" s="10"/>
      <c r="DQ676" s="10"/>
      <c r="DR676" s="10"/>
    </row>
    <row r="677" spans="1:122" ht="15.75" customHeight="1">
      <c r="A677" s="300"/>
      <c r="B677" s="300"/>
      <c r="C677" s="300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97"/>
      <c r="DH677" s="197"/>
      <c r="DI677" s="197"/>
      <c r="DJ677" s="10"/>
      <c r="DK677" s="10"/>
      <c r="DL677" s="10"/>
      <c r="DM677" s="10"/>
      <c r="DN677" s="10"/>
      <c r="DO677" s="10"/>
      <c r="DP677" s="10"/>
      <c r="DQ677" s="10"/>
      <c r="DR677" s="10"/>
    </row>
    <row r="678" spans="1:122" ht="15.75" customHeight="1">
      <c r="A678" s="300"/>
      <c r="B678" s="300"/>
      <c r="C678" s="300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97"/>
      <c r="DH678" s="197"/>
      <c r="DI678" s="197"/>
      <c r="DJ678" s="10"/>
      <c r="DK678" s="10"/>
      <c r="DL678" s="10"/>
      <c r="DM678" s="10"/>
      <c r="DN678" s="10"/>
      <c r="DO678" s="10"/>
      <c r="DP678" s="10"/>
      <c r="DQ678" s="10"/>
      <c r="DR678" s="10"/>
    </row>
    <row r="679" spans="1:122" ht="15.75" customHeight="1">
      <c r="A679" s="300"/>
      <c r="B679" s="300"/>
      <c r="C679" s="300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97"/>
      <c r="DH679" s="197"/>
      <c r="DI679" s="197"/>
      <c r="DJ679" s="10"/>
      <c r="DK679" s="10"/>
      <c r="DL679" s="10"/>
      <c r="DM679" s="10"/>
      <c r="DN679" s="10"/>
      <c r="DO679" s="10"/>
      <c r="DP679" s="10"/>
      <c r="DQ679" s="10"/>
      <c r="DR679" s="10"/>
    </row>
    <row r="680" spans="1:122" ht="15.75" customHeight="1">
      <c r="A680" s="300"/>
      <c r="B680" s="300"/>
      <c r="C680" s="300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97"/>
      <c r="DH680" s="197"/>
      <c r="DI680" s="197"/>
      <c r="DJ680" s="10"/>
      <c r="DK680" s="10"/>
      <c r="DL680" s="10"/>
      <c r="DM680" s="10"/>
      <c r="DN680" s="10"/>
      <c r="DO680" s="10"/>
      <c r="DP680" s="10"/>
      <c r="DQ680" s="10"/>
      <c r="DR680" s="10"/>
    </row>
    <row r="681" spans="1:122" ht="15.75" customHeight="1">
      <c r="A681" s="300"/>
      <c r="B681" s="300"/>
      <c r="C681" s="300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97"/>
      <c r="DH681" s="197"/>
      <c r="DI681" s="197"/>
      <c r="DJ681" s="10"/>
      <c r="DK681" s="10"/>
      <c r="DL681" s="10"/>
      <c r="DM681" s="10"/>
      <c r="DN681" s="10"/>
      <c r="DO681" s="10"/>
      <c r="DP681" s="10"/>
      <c r="DQ681" s="10"/>
      <c r="DR681" s="10"/>
    </row>
    <row r="682" spans="1:122" ht="15.75" customHeight="1">
      <c r="A682" s="300"/>
      <c r="B682" s="300"/>
      <c r="C682" s="300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97"/>
      <c r="DH682" s="197"/>
      <c r="DI682" s="197"/>
      <c r="DJ682" s="10"/>
      <c r="DK682" s="10"/>
      <c r="DL682" s="10"/>
      <c r="DM682" s="10"/>
      <c r="DN682" s="10"/>
      <c r="DO682" s="10"/>
      <c r="DP682" s="10"/>
      <c r="DQ682" s="10"/>
      <c r="DR682" s="10"/>
    </row>
    <row r="683" spans="1:122" ht="15.75" customHeight="1">
      <c r="A683" s="300"/>
      <c r="B683" s="300"/>
      <c r="C683" s="300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97"/>
      <c r="DH683" s="197"/>
      <c r="DI683" s="197"/>
      <c r="DJ683" s="10"/>
      <c r="DK683" s="10"/>
      <c r="DL683" s="10"/>
      <c r="DM683" s="10"/>
      <c r="DN683" s="10"/>
      <c r="DO683" s="10"/>
      <c r="DP683" s="10"/>
      <c r="DQ683" s="10"/>
      <c r="DR683" s="10"/>
    </row>
    <row r="684" spans="1:122" ht="15.75" customHeight="1">
      <c r="A684" s="300"/>
      <c r="B684" s="300"/>
      <c r="C684" s="300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97"/>
      <c r="DH684" s="197"/>
      <c r="DI684" s="197"/>
      <c r="DJ684" s="10"/>
      <c r="DK684" s="10"/>
      <c r="DL684" s="10"/>
      <c r="DM684" s="10"/>
      <c r="DN684" s="10"/>
      <c r="DO684" s="10"/>
      <c r="DP684" s="10"/>
      <c r="DQ684" s="10"/>
      <c r="DR684" s="10"/>
    </row>
    <row r="685" spans="1:122" ht="15.75" customHeight="1">
      <c r="A685" s="300"/>
      <c r="B685" s="300"/>
      <c r="C685" s="300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97"/>
      <c r="DH685" s="197"/>
      <c r="DI685" s="197"/>
      <c r="DJ685" s="10"/>
      <c r="DK685" s="10"/>
      <c r="DL685" s="10"/>
      <c r="DM685" s="10"/>
      <c r="DN685" s="10"/>
      <c r="DO685" s="10"/>
      <c r="DP685" s="10"/>
      <c r="DQ685" s="10"/>
      <c r="DR685" s="10"/>
    </row>
    <row r="686" spans="1:122" ht="15.75" customHeight="1">
      <c r="A686" s="300"/>
      <c r="B686" s="300"/>
      <c r="C686" s="300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97"/>
      <c r="DH686" s="197"/>
      <c r="DI686" s="197"/>
      <c r="DJ686" s="10"/>
      <c r="DK686" s="10"/>
      <c r="DL686" s="10"/>
      <c r="DM686" s="10"/>
      <c r="DN686" s="10"/>
      <c r="DO686" s="10"/>
      <c r="DP686" s="10"/>
      <c r="DQ686" s="10"/>
      <c r="DR686" s="10"/>
    </row>
    <row r="687" spans="1:122" ht="15.75" customHeight="1">
      <c r="A687" s="300"/>
      <c r="B687" s="300"/>
      <c r="C687" s="300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97"/>
      <c r="DH687" s="197"/>
      <c r="DI687" s="197"/>
      <c r="DJ687" s="10"/>
      <c r="DK687" s="10"/>
      <c r="DL687" s="10"/>
      <c r="DM687" s="10"/>
      <c r="DN687" s="10"/>
      <c r="DO687" s="10"/>
      <c r="DP687" s="10"/>
      <c r="DQ687" s="10"/>
      <c r="DR687" s="10"/>
    </row>
    <row r="688" spans="1:122" ht="15.75" customHeight="1">
      <c r="A688" s="300"/>
      <c r="B688" s="300"/>
      <c r="C688" s="300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97"/>
      <c r="DH688" s="197"/>
      <c r="DI688" s="197"/>
      <c r="DJ688" s="10"/>
      <c r="DK688" s="10"/>
      <c r="DL688" s="10"/>
      <c r="DM688" s="10"/>
      <c r="DN688" s="10"/>
      <c r="DO688" s="10"/>
      <c r="DP688" s="10"/>
      <c r="DQ688" s="10"/>
      <c r="DR688" s="10"/>
    </row>
    <row r="689" spans="1:122" ht="15.75" customHeight="1">
      <c r="A689" s="300"/>
      <c r="B689" s="300"/>
      <c r="C689" s="300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97"/>
      <c r="DH689" s="197"/>
      <c r="DI689" s="197"/>
      <c r="DJ689" s="10"/>
      <c r="DK689" s="10"/>
      <c r="DL689" s="10"/>
      <c r="DM689" s="10"/>
      <c r="DN689" s="10"/>
      <c r="DO689" s="10"/>
      <c r="DP689" s="10"/>
      <c r="DQ689" s="10"/>
      <c r="DR689" s="10"/>
    </row>
    <row r="690" spans="1:122" ht="15.75" customHeight="1">
      <c r="A690" s="300"/>
      <c r="B690" s="300"/>
      <c r="C690" s="300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97"/>
      <c r="DH690" s="197"/>
      <c r="DI690" s="197"/>
      <c r="DJ690" s="10"/>
      <c r="DK690" s="10"/>
      <c r="DL690" s="10"/>
      <c r="DM690" s="10"/>
      <c r="DN690" s="10"/>
      <c r="DO690" s="10"/>
      <c r="DP690" s="10"/>
      <c r="DQ690" s="10"/>
      <c r="DR690" s="10"/>
    </row>
    <row r="691" spans="1:122" ht="15.75" customHeight="1">
      <c r="A691" s="300"/>
      <c r="B691" s="300"/>
      <c r="C691" s="300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97"/>
      <c r="DH691" s="197"/>
      <c r="DI691" s="197"/>
      <c r="DJ691" s="10"/>
      <c r="DK691" s="10"/>
      <c r="DL691" s="10"/>
      <c r="DM691" s="10"/>
      <c r="DN691" s="10"/>
      <c r="DO691" s="10"/>
      <c r="DP691" s="10"/>
      <c r="DQ691" s="10"/>
      <c r="DR691" s="10"/>
    </row>
    <row r="692" spans="1:122" ht="15.75" customHeight="1">
      <c r="A692" s="300"/>
      <c r="B692" s="300"/>
      <c r="C692" s="300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97"/>
      <c r="DH692" s="197"/>
      <c r="DI692" s="197"/>
      <c r="DJ692" s="10"/>
      <c r="DK692" s="10"/>
      <c r="DL692" s="10"/>
      <c r="DM692" s="10"/>
      <c r="DN692" s="10"/>
      <c r="DO692" s="10"/>
      <c r="DP692" s="10"/>
      <c r="DQ692" s="10"/>
      <c r="DR692" s="10"/>
    </row>
    <row r="693" spans="1:122" ht="15.75" customHeight="1">
      <c r="A693" s="300"/>
      <c r="B693" s="300"/>
      <c r="C693" s="300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97"/>
      <c r="DH693" s="197"/>
      <c r="DI693" s="197"/>
      <c r="DJ693" s="10"/>
      <c r="DK693" s="10"/>
      <c r="DL693" s="10"/>
      <c r="DM693" s="10"/>
      <c r="DN693" s="10"/>
      <c r="DO693" s="10"/>
      <c r="DP693" s="10"/>
      <c r="DQ693" s="10"/>
      <c r="DR693" s="10"/>
    </row>
    <row r="694" spans="1:122" ht="15.75" customHeight="1">
      <c r="A694" s="300"/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97"/>
      <c r="DH694" s="197"/>
      <c r="DI694" s="197"/>
      <c r="DJ694" s="10"/>
      <c r="DK694" s="10"/>
      <c r="DL694" s="10"/>
      <c r="DM694" s="10"/>
      <c r="DN694" s="10"/>
      <c r="DO694" s="10"/>
      <c r="DP694" s="10"/>
      <c r="DQ694" s="10"/>
      <c r="DR694" s="10"/>
    </row>
    <row r="695" spans="1:122" ht="15.75" customHeight="1">
      <c r="A695" s="300"/>
      <c r="B695" s="300"/>
      <c r="C695" s="300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97"/>
      <c r="DH695" s="197"/>
      <c r="DI695" s="197"/>
      <c r="DJ695" s="10"/>
      <c r="DK695" s="10"/>
      <c r="DL695" s="10"/>
      <c r="DM695" s="10"/>
      <c r="DN695" s="10"/>
      <c r="DO695" s="10"/>
      <c r="DP695" s="10"/>
      <c r="DQ695" s="10"/>
      <c r="DR695" s="10"/>
    </row>
    <row r="696" spans="1:122" ht="15.75" customHeight="1">
      <c r="A696" s="300"/>
      <c r="B696" s="300"/>
      <c r="C696" s="300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97"/>
      <c r="DH696" s="197"/>
      <c r="DI696" s="197"/>
      <c r="DJ696" s="10"/>
      <c r="DK696" s="10"/>
      <c r="DL696" s="10"/>
      <c r="DM696" s="10"/>
      <c r="DN696" s="10"/>
      <c r="DO696" s="10"/>
      <c r="DP696" s="10"/>
      <c r="DQ696" s="10"/>
      <c r="DR696" s="10"/>
    </row>
    <row r="697" spans="1:122" ht="15.75" customHeight="1">
      <c r="A697" s="300"/>
      <c r="B697" s="300"/>
      <c r="C697" s="300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97"/>
      <c r="DH697" s="197"/>
      <c r="DI697" s="197"/>
      <c r="DJ697" s="10"/>
      <c r="DK697" s="10"/>
      <c r="DL697" s="10"/>
      <c r="DM697" s="10"/>
      <c r="DN697" s="10"/>
      <c r="DO697" s="10"/>
      <c r="DP697" s="10"/>
      <c r="DQ697" s="10"/>
      <c r="DR697" s="10"/>
    </row>
    <row r="698" spans="1:122" ht="15.75" customHeight="1">
      <c r="A698" s="300"/>
      <c r="B698" s="300"/>
      <c r="C698" s="300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97"/>
      <c r="DH698" s="197"/>
      <c r="DI698" s="197"/>
      <c r="DJ698" s="10"/>
      <c r="DK698" s="10"/>
      <c r="DL698" s="10"/>
      <c r="DM698" s="10"/>
      <c r="DN698" s="10"/>
      <c r="DO698" s="10"/>
      <c r="DP698" s="10"/>
      <c r="DQ698" s="10"/>
      <c r="DR698" s="10"/>
    </row>
    <row r="699" spans="1:122" ht="15.75" customHeight="1">
      <c r="A699" s="300"/>
      <c r="B699" s="300"/>
      <c r="C699" s="300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97"/>
      <c r="DH699" s="197"/>
      <c r="DI699" s="197"/>
      <c r="DJ699" s="10"/>
      <c r="DK699" s="10"/>
      <c r="DL699" s="10"/>
      <c r="DM699" s="10"/>
      <c r="DN699" s="10"/>
      <c r="DO699" s="10"/>
      <c r="DP699" s="10"/>
      <c r="DQ699" s="10"/>
      <c r="DR699" s="10"/>
    </row>
    <row r="700" spans="1:122" ht="15.75" customHeight="1">
      <c r="A700" s="300"/>
      <c r="B700" s="300"/>
      <c r="C700" s="300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97"/>
      <c r="DH700" s="197"/>
      <c r="DI700" s="197"/>
      <c r="DJ700" s="10"/>
      <c r="DK700" s="10"/>
      <c r="DL700" s="10"/>
      <c r="DM700" s="10"/>
      <c r="DN700" s="10"/>
      <c r="DO700" s="10"/>
      <c r="DP700" s="10"/>
      <c r="DQ700" s="10"/>
      <c r="DR700" s="10"/>
    </row>
    <row r="701" spans="1:122" ht="15.75" customHeight="1">
      <c r="A701" s="300"/>
      <c r="B701" s="300"/>
      <c r="C701" s="300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97"/>
      <c r="DH701" s="197"/>
      <c r="DI701" s="197"/>
      <c r="DJ701" s="10"/>
      <c r="DK701" s="10"/>
      <c r="DL701" s="10"/>
      <c r="DM701" s="10"/>
      <c r="DN701" s="10"/>
      <c r="DO701" s="10"/>
      <c r="DP701" s="10"/>
      <c r="DQ701" s="10"/>
      <c r="DR701" s="10"/>
    </row>
    <row r="702" spans="1:122" ht="15.75" customHeight="1">
      <c r="A702" s="300"/>
      <c r="B702" s="300"/>
      <c r="C702" s="300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97"/>
      <c r="DH702" s="197"/>
      <c r="DI702" s="197"/>
      <c r="DJ702" s="10"/>
      <c r="DK702" s="10"/>
      <c r="DL702" s="10"/>
      <c r="DM702" s="10"/>
      <c r="DN702" s="10"/>
      <c r="DO702" s="10"/>
      <c r="DP702" s="10"/>
      <c r="DQ702" s="10"/>
      <c r="DR702" s="10"/>
    </row>
    <row r="703" spans="1:122" ht="15.75" customHeight="1">
      <c r="A703" s="300"/>
      <c r="B703" s="300"/>
      <c r="C703" s="300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97"/>
      <c r="DH703" s="197"/>
      <c r="DI703" s="197"/>
      <c r="DJ703" s="10"/>
      <c r="DK703" s="10"/>
      <c r="DL703" s="10"/>
      <c r="DM703" s="10"/>
      <c r="DN703" s="10"/>
      <c r="DO703" s="10"/>
      <c r="DP703" s="10"/>
      <c r="DQ703" s="10"/>
      <c r="DR703" s="10"/>
    </row>
    <row r="704" spans="1:122" ht="15.75" customHeight="1">
      <c r="A704" s="300"/>
      <c r="B704" s="300"/>
      <c r="C704" s="300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97"/>
      <c r="DH704" s="197"/>
      <c r="DI704" s="197"/>
      <c r="DJ704" s="10"/>
      <c r="DK704" s="10"/>
      <c r="DL704" s="10"/>
      <c r="DM704" s="10"/>
      <c r="DN704" s="10"/>
      <c r="DO704" s="10"/>
      <c r="DP704" s="10"/>
      <c r="DQ704" s="10"/>
      <c r="DR704" s="10"/>
    </row>
    <row r="705" spans="1:122" ht="15.75" customHeight="1">
      <c r="A705" s="300"/>
      <c r="B705" s="300"/>
      <c r="C705" s="300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97"/>
      <c r="DH705" s="197"/>
      <c r="DI705" s="197"/>
      <c r="DJ705" s="10"/>
      <c r="DK705" s="10"/>
      <c r="DL705" s="10"/>
      <c r="DM705" s="10"/>
      <c r="DN705" s="10"/>
      <c r="DO705" s="10"/>
      <c r="DP705" s="10"/>
      <c r="DQ705" s="10"/>
      <c r="DR705" s="10"/>
    </row>
    <row r="706" spans="1:122" ht="15.75" customHeight="1">
      <c r="A706" s="300"/>
      <c r="B706" s="300"/>
      <c r="C706" s="300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97"/>
      <c r="DH706" s="197"/>
      <c r="DI706" s="197"/>
      <c r="DJ706" s="10"/>
      <c r="DK706" s="10"/>
      <c r="DL706" s="10"/>
      <c r="DM706" s="10"/>
      <c r="DN706" s="10"/>
      <c r="DO706" s="10"/>
      <c r="DP706" s="10"/>
      <c r="DQ706" s="10"/>
      <c r="DR706" s="10"/>
    </row>
    <row r="707" spans="1:122" ht="15.75" customHeight="1">
      <c r="A707" s="300"/>
      <c r="B707" s="300"/>
      <c r="C707" s="300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97"/>
      <c r="DH707" s="197"/>
      <c r="DI707" s="197"/>
      <c r="DJ707" s="10"/>
      <c r="DK707" s="10"/>
      <c r="DL707" s="10"/>
      <c r="DM707" s="10"/>
      <c r="DN707" s="10"/>
      <c r="DO707" s="10"/>
      <c r="DP707" s="10"/>
      <c r="DQ707" s="10"/>
      <c r="DR707" s="10"/>
    </row>
    <row r="708" spans="1:122" ht="15.75" customHeight="1">
      <c r="A708" s="300"/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97"/>
      <c r="DH708" s="197"/>
      <c r="DI708" s="197"/>
      <c r="DJ708" s="10"/>
      <c r="DK708" s="10"/>
      <c r="DL708" s="10"/>
      <c r="DM708" s="10"/>
      <c r="DN708" s="10"/>
      <c r="DO708" s="10"/>
      <c r="DP708" s="10"/>
      <c r="DQ708" s="10"/>
      <c r="DR708" s="10"/>
    </row>
    <row r="709" spans="1:122" ht="15.75" customHeight="1">
      <c r="A709" s="300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97"/>
      <c r="DH709" s="197"/>
      <c r="DI709" s="197"/>
      <c r="DJ709" s="10"/>
      <c r="DK709" s="10"/>
      <c r="DL709" s="10"/>
      <c r="DM709" s="10"/>
      <c r="DN709" s="10"/>
      <c r="DO709" s="10"/>
      <c r="DP709" s="10"/>
      <c r="DQ709" s="10"/>
      <c r="DR709" s="10"/>
    </row>
    <row r="710" spans="1:122" ht="15.75" customHeight="1">
      <c r="A710" s="300"/>
      <c r="B710" s="300"/>
      <c r="C710" s="300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97"/>
      <c r="DH710" s="197"/>
      <c r="DI710" s="197"/>
      <c r="DJ710" s="10"/>
      <c r="DK710" s="10"/>
      <c r="DL710" s="10"/>
      <c r="DM710" s="10"/>
      <c r="DN710" s="10"/>
      <c r="DO710" s="10"/>
      <c r="DP710" s="10"/>
      <c r="DQ710" s="10"/>
      <c r="DR710" s="10"/>
    </row>
    <row r="711" spans="1:122" ht="15.75" customHeight="1">
      <c r="A711" s="300"/>
      <c r="B711" s="300"/>
      <c r="C711" s="300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97"/>
      <c r="DH711" s="197"/>
      <c r="DI711" s="197"/>
      <c r="DJ711" s="10"/>
      <c r="DK711" s="10"/>
      <c r="DL711" s="10"/>
      <c r="DM711" s="10"/>
      <c r="DN711" s="10"/>
      <c r="DO711" s="10"/>
      <c r="DP711" s="10"/>
      <c r="DQ711" s="10"/>
      <c r="DR711" s="10"/>
    </row>
    <row r="712" spans="1:122" ht="15.75" customHeight="1">
      <c r="A712" s="300"/>
      <c r="B712" s="300"/>
      <c r="C712" s="300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97"/>
      <c r="DH712" s="197"/>
      <c r="DI712" s="197"/>
      <c r="DJ712" s="10"/>
      <c r="DK712" s="10"/>
      <c r="DL712" s="10"/>
      <c r="DM712" s="10"/>
      <c r="DN712" s="10"/>
      <c r="DO712" s="10"/>
      <c r="DP712" s="10"/>
      <c r="DQ712" s="10"/>
      <c r="DR712" s="10"/>
    </row>
    <row r="713" spans="1:122" ht="15.75" customHeight="1">
      <c r="A713" s="300"/>
      <c r="B713" s="300"/>
      <c r="C713" s="300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97"/>
      <c r="DH713" s="197"/>
      <c r="DI713" s="197"/>
      <c r="DJ713" s="10"/>
      <c r="DK713" s="10"/>
      <c r="DL713" s="10"/>
      <c r="DM713" s="10"/>
      <c r="DN713" s="10"/>
      <c r="DO713" s="10"/>
      <c r="DP713" s="10"/>
      <c r="DQ713" s="10"/>
      <c r="DR713" s="10"/>
    </row>
    <row r="714" spans="1:122" ht="15.75" customHeight="1">
      <c r="A714" s="300"/>
      <c r="B714" s="300"/>
      <c r="C714" s="300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97"/>
      <c r="DH714" s="197"/>
      <c r="DI714" s="197"/>
      <c r="DJ714" s="10"/>
      <c r="DK714" s="10"/>
      <c r="DL714" s="10"/>
      <c r="DM714" s="10"/>
      <c r="DN714" s="10"/>
      <c r="DO714" s="10"/>
      <c r="DP714" s="10"/>
      <c r="DQ714" s="10"/>
      <c r="DR714" s="10"/>
    </row>
    <row r="715" spans="1:122" ht="15.75" customHeight="1">
      <c r="A715" s="300"/>
      <c r="B715" s="300"/>
      <c r="C715" s="300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97"/>
      <c r="DH715" s="197"/>
      <c r="DI715" s="197"/>
      <c r="DJ715" s="10"/>
      <c r="DK715" s="10"/>
      <c r="DL715" s="10"/>
      <c r="DM715" s="10"/>
      <c r="DN715" s="10"/>
      <c r="DO715" s="10"/>
      <c r="DP715" s="10"/>
      <c r="DQ715" s="10"/>
      <c r="DR715" s="10"/>
    </row>
    <row r="716" spans="1:122" ht="15.75" customHeight="1">
      <c r="A716" s="300"/>
      <c r="B716" s="300"/>
      <c r="C716" s="300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97"/>
      <c r="DH716" s="197"/>
      <c r="DI716" s="197"/>
      <c r="DJ716" s="10"/>
      <c r="DK716" s="10"/>
      <c r="DL716" s="10"/>
      <c r="DM716" s="10"/>
      <c r="DN716" s="10"/>
      <c r="DO716" s="10"/>
      <c r="DP716" s="10"/>
      <c r="DQ716" s="10"/>
      <c r="DR716" s="10"/>
    </row>
    <row r="717" spans="1:122" ht="15.75" customHeight="1">
      <c r="A717" s="300"/>
      <c r="B717" s="300"/>
      <c r="C717" s="300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97"/>
      <c r="DH717" s="197"/>
      <c r="DI717" s="197"/>
      <c r="DJ717" s="10"/>
      <c r="DK717" s="10"/>
      <c r="DL717" s="10"/>
      <c r="DM717" s="10"/>
      <c r="DN717" s="10"/>
      <c r="DO717" s="10"/>
      <c r="DP717" s="10"/>
      <c r="DQ717" s="10"/>
      <c r="DR717" s="10"/>
    </row>
    <row r="718" spans="1:122" ht="15.75" customHeight="1">
      <c r="A718" s="300"/>
      <c r="B718" s="300"/>
      <c r="C718" s="300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97"/>
      <c r="DH718" s="197"/>
      <c r="DI718" s="197"/>
      <c r="DJ718" s="10"/>
      <c r="DK718" s="10"/>
      <c r="DL718" s="10"/>
      <c r="DM718" s="10"/>
      <c r="DN718" s="10"/>
      <c r="DO718" s="10"/>
      <c r="DP718" s="10"/>
      <c r="DQ718" s="10"/>
      <c r="DR718" s="10"/>
    </row>
    <row r="719" spans="1:122" ht="15.75" customHeight="1">
      <c r="A719" s="300"/>
      <c r="B719" s="300"/>
      <c r="C719" s="300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97"/>
      <c r="DH719" s="197"/>
      <c r="DI719" s="197"/>
      <c r="DJ719" s="10"/>
      <c r="DK719" s="10"/>
      <c r="DL719" s="10"/>
      <c r="DM719" s="10"/>
      <c r="DN719" s="10"/>
      <c r="DO719" s="10"/>
      <c r="DP719" s="10"/>
      <c r="DQ719" s="10"/>
      <c r="DR719" s="10"/>
    </row>
    <row r="720" spans="1:122" ht="15.75" customHeight="1">
      <c r="A720" s="300"/>
      <c r="B720" s="300"/>
      <c r="C720" s="300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97"/>
      <c r="DH720" s="197"/>
      <c r="DI720" s="197"/>
      <c r="DJ720" s="10"/>
      <c r="DK720" s="10"/>
      <c r="DL720" s="10"/>
      <c r="DM720" s="10"/>
      <c r="DN720" s="10"/>
      <c r="DO720" s="10"/>
      <c r="DP720" s="10"/>
      <c r="DQ720" s="10"/>
      <c r="DR720" s="10"/>
    </row>
    <row r="721" spans="1:122" ht="15.75" customHeight="1">
      <c r="A721" s="300"/>
      <c r="B721" s="300"/>
      <c r="C721" s="300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97"/>
      <c r="DH721" s="197"/>
      <c r="DI721" s="197"/>
      <c r="DJ721" s="10"/>
      <c r="DK721" s="10"/>
      <c r="DL721" s="10"/>
      <c r="DM721" s="10"/>
      <c r="DN721" s="10"/>
      <c r="DO721" s="10"/>
      <c r="DP721" s="10"/>
      <c r="DQ721" s="10"/>
      <c r="DR721" s="10"/>
    </row>
    <row r="722" spans="1:122" ht="15.75" customHeight="1">
      <c r="A722" s="300"/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97"/>
      <c r="DH722" s="197"/>
      <c r="DI722" s="197"/>
      <c r="DJ722" s="10"/>
      <c r="DK722" s="10"/>
      <c r="DL722" s="10"/>
      <c r="DM722" s="10"/>
      <c r="DN722" s="10"/>
      <c r="DO722" s="10"/>
      <c r="DP722" s="10"/>
      <c r="DQ722" s="10"/>
      <c r="DR722" s="10"/>
    </row>
    <row r="723" spans="1:122" ht="15.75" customHeight="1">
      <c r="A723" s="300"/>
      <c r="B723" s="300"/>
      <c r="C723" s="300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97"/>
      <c r="DH723" s="197"/>
      <c r="DI723" s="197"/>
      <c r="DJ723" s="10"/>
      <c r="DK723" s="10"/>
      <c r="DL723" s="10"/>
      <c r="DM723" s="10"/>
      <c r="DN723" s="10"/>
      <c r="DO723" s="10"/>
      <c r="DP723" s="10"/>
      <c r="DQ723" s="10"/>
      <c r="DR723" s="10"/>
    </row>
    <row r="724" spans="1:122" ht="15.75" customHeight="1">
      <c r="A724" s="300"/>
      <c r="B724" s="300"/>
      <c r="C724" s="300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97"/>
      <c r="DH724" s="197"/>
      <c r="DI724" s="197"/>
      <c r="DJ724" s="10"/>
      <c r="DK724" s="10"/>
      <c r="DL724" s="10"/>
      <c r="DM724" s="10"/>
      <c r="DN724" s="10"/>
      <c r="DO724" s="10"/>
      <c r="DP724" s="10"/>
      <c r="DQ724" s="10"/>
      <c r="DR724" s="10"/>
    </row>
    <row r="725" spans="1:122" ht="15.75" customHeight="1">
      <c r="A725" s="300"/>
      <c r="B725" s="300"/>
      <c r="C725" s="300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97"/>
      <c r="DH725" s="197"/>
      <c r="DI725" s="197"/>
      <c r="DJ725" s="10"/>
      <c r="DK725" s="10"/>
      <c r="DL725" s="10"/>
      <c r="DM725" s="10"/>
      <c r="DN725" s="10"/>
      <c r="DO725" s="10"/>
      <c r="DP725" s="10"/>
      <c r="DQ725" s="10"/>
      <c r="DR725" s="10"/>
    </row>
    <row r="726" spans="1:122" ht="15.75" customHeight="1">
      <c r="A726" s="300"/>
      <c r="B726" s="300"/>
      <c r="C726" s="300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97"/>
      <c r="DH726" s="197"/>
      <c r="DI726" s="197"/>
      <c r="DJ726" s="10"/>
      <c r="DK726" s="10"/>
      <c r="DL726" s="10"/>
      <c r="DM726" s="10"/>
      <c r="DN726" s="10"/>
      <c r="DO726" s="10"/>
      <c r="DP726" s="10"/>
      <c r="DQ726" s="10"/>
      <c r="DR726" s="10"/>
    </row>
    <row r="727" spans="1:122" ht="15.75" customHeight="1">
      <c r="A727" s="300"/>
      <c r="B727" s="300"/>
      <c r="C727" s="300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97"/>
      <c r="DH727" s="197"/>
      <c r="DI727" s="197"/>
      <c r="DJ727" s="10"/>
      <c r="DK727" s="10"/>
      <c r="DL727" s="10"/>
      <c r="DM727" s="10"/>
      <c r="DN727" s="10"/>
      <c r="DO727" s="10"/>
      <c r="DP727" s="10"/>
      <c r="DQ727" s="10"/>
      <c r="DR727" s="10"/>
    </row>
    <row r="728" spans="1:122" ht="15.75" customHeight="1">
      <c r="A728" s="300"/>
      <c r="B728" s="300"/>
      <c r="C728" s="300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97"/>
      <c r="DH728" s="197"/>
      <c r="DI728" s="197"/>
      <c r="DJ728" s="10"/>
      <c r="DK728" s="10"/>
      <c r="DL728" s="10"/>
      <c r="DM728" s="10"/>
      <c r="DN728" s="10"/>
      <c r="DO728" s="10"/>
      <c r="DP728" s="10"/>
      <c r="DQ728" s="10"/>
      <c r="DR728" s="10"/>
    </row>
    <row r="729" spans="1:122" ht="15.75" customHeight="1">
      <c r="A729" s="300"/>
      <c r="B729" s="300"/>
      <c r="C729" s="300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97"/>
      <c r="DH729" s="197"/>
      <c r="DI729" s="197"/>
      <c r="DJ729" s="10"/>
      <c r="DK729" s="10"/>
      <c r="DL729" s="10"/>
      <c r="DM729" s="10"/>
      <c r="DN729" s="10"/>
      <c r="DO729" s="10"/>
      <c r="DP729" s="10"/>
      <c r="DQ729" s="10"/>
      <c r="DR729" s="10"/>
    </row>
    <row r="730" spans="1:122" ht="15.75" customHeight="1">
      <c r="A730" s="300"/>
      <c r="B730" s="300"/>
      <c r="C730" s="300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97"/>
      <c r="DH730" s="197"/>
      <c r="DI730" s="197"/>
      <c r="DJ730" s="10"/>
      <c r="DK730" s="10"/>
      <c r="DL730" s="10"/>
      <c r="DM730" s="10"/>
      <c r="DN730" s="10"/>
      <c r="DO730" s="10"/>
      <c r="DP730" s="10"/>
      <c r="DQ730" s="10"/>
      <c r="DR730" s="10"/>
    </row>
    <row r="731" spans="1:122" ht="15.75" customHeight="1">
      <c r="A731" s="300"/>
      <c r="B731" s="300"/>
      <c r="C731" s="300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97"/>
      <c r="DH731" s="197"/>
      <c r="DI731" s="197"/>
      <c r="DJ731" s="10"/>
      <c r="DK731" s="10"/>
      <c r="DL731" s="10"/>
      <c r="DM731" s="10"/>
      <c r="DN731" s="10"/>
      <c r="DO731" s="10"/>
      <c r="DP731" s="10"/>
      <c r="DQ731" s="10"/>
      <c r="DR731" s="10"/>
    </row>
    <row r="732" spans="1:122" ht="15.75" customHeight="1">
      <c r="A732" s="300"/>
      <c r="B732" s="300"/>
      <c r="C732" s="300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97"/>
      <c r="DH732" s="197"/>
      <c r="DI732" s="197"/>
      <c r="DJ732" s="10"/>
      <c r="DK732" s="10"/>
      <c r="DL732" s="10"/>
      <c r="DM732" s="10"/>
      <c r="DN732" s="10"/>
      <c r="DO732" s="10"/>
      <c r="DP732" s="10"/>
      <c r="DQ732" s="10"/>
      <c r="DR732" s="10"/>
    </row>
    <row r="733" spans="1:122" ht="15.75" customHeight="1">
      <c r="A733" s="300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97"/>
      <c r="DH733" s="197"/>
      <c r="DI733" s="197"/>
      <c r="DJ733" s="10"/>
      <c r="DK733" s="10"/>
      <c r="DL733" s="10"/>
      <c r="DM733" s="10"/>
      <c r="DN733" s="10"/>
      <c r="DO733" s="10"/>
      <c r="DP733" s="10"/>
      <c r="DQ733" s="10"/>
      <c r="DR733" s="10"/>
    </row>
    <row r="734" spans="1:122" ht="15.75" customHeight="1">
      <c r="A734" s="300"/>
      <c r="B734" s="300"/>
      <c r="C734" s="300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97"/>
      <c r="DH734" s="197"/>
      <c r="DI734" s="197"/>
      <c r="DJ734" s="10"/>
      <c r="DK734" s="10"/>
      <c r="DL734" s="10"/>
      <c r="DM734" s="10"/>
      <c r="DN734" s="10"/>
      <c r="DO734" s="10"/>
      <c r="DP734" s="10"/>
      <c r="DQ734" s="10"/>
      <c r="DR734" s="10"/>
    </row>
    <row r="735" spans="1:122" ht="15.75" customHeight="1">
      <c r="A735" s="300"/>
      <c r="B735" s="300"/>
      <c r="C735" s="300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97"/>
      <c r="DH735" s="197"/>
      <c r="DI735" s="197"/>
      <c r="DJ735" s="10"/>
      <c r="DK735" s="10"/>
      <c r="DL735" s="10"/>
      <c r="DM735" s="10"/>
      <c r="DN735" s="10"/>
      <c r="DO735" s="10"/>
      <c r="DP735" s="10"/>
      <c r="DQ735" s="10"/>
      <c r="DR735" s="10"/>
    </row>
    <row r="736" spans="1:122" ht="15.75" customHeight="1">
      <c r="A736" s="300"/>
      <c r="B736" s="300"/>
      <c r="C736" s="300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97"/>
      <c r="DH736" s="197"/>
      <c r="DI736" s="197"/>
      <c r="DJ736" s="10"/>
      <c r="DK736" s="10"/>
      <c r="DL736" s="10"/>
      <c r="DM736" s="10"/>
      <c r="DN736" s="10"/>
      <c r="DO736" s="10"/>
      <c r="DP736" s="10"/>
      <c r="DQ736" s="10"/>
      <c r="DR736" s="10"/>
    </row>
    <row r="737" spans="1:122" ht="15.75" customHeight="1">
      <c r="A737" s="300"/>
      <c r="B737" s="300"/>
      <c r="C737" s="300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97"/>
      <c r="DH737" s="197"/>
      <c r="DI737" s="197"/>
      <c r="DJ737" s="10"/>
      <c r="DK737" s="10"/>
      <c r="DL737" s="10"/>
      <c r="DM737" s="10"/>
      <c r="DN737" s="10"/>
      <c r="DO737" s="10"/>
      <c r="DP737" s="10"/>
      <c r="DQ737" s="10"/>
      <c r="DR737" s="10"/>
    </row>
    <row r="738" spans="1:122" ht="15.75" customHeight="1">
      <c r="A738" s="300"/>
      <c r="B738" s="300"/>
      <c r="C738" s="300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97"/>
      <c r="DH738" s="197"/>
      <c r="DI738" s="197"/>
      <c r="DJ738" s="10"/>
      <c r="DK738" s="10"/>
      <c r="DL738" s="10"/>
      <c r="DM738" s="10"/>
      <c r="DN738" s="10"/>
      <c r="DO738" s="10"/>
      <c r="DP738" s="10"/>
      <c r="DQ738" s="10"/>
      <c r="DR738" s="10"/>
    </row>
    <row r="739" spans="1:122" ht="15.75" customHeight="1">
      <c r="A739" s="300"/>
      <c r="B739" s="300"/>
      <c r="C739" s="300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97"/>
      <c r="DH739" s="197"/>
      <c r="DI739" s="197"/>
      <c r="DJ739" s="10"/>
      <c r="DK739" s="10"/>
      <c r="DL739" s="10"/>
      <c r="DM739" s="10"/>
      <c r="DN739" s="10"/>
      <c r="DO739" s="10"/>
      <c r="DP739" s="10"/>
      <c r="DQ739" s="10"/>
      <c r="DR739" s="10"/>
    </row>
    <row r="740" spans="1:122" ht="15.75" customHeight="1">
      <c r="A740" s="300"/>
      <c r="B740" s="300"/>
      <c r="C740" s="300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97"/>
      <c r="DH740" s="197"/>
      <c r="DI740" s="197"/>
      <c r="DJ740" s="10"/>
      <c r="DK740" s="10"/>
      <c r="DL740" s="10"/>
      <c r="DM740" s="10"/>
      <c r="DN740" s="10"/>
      <c r="DO740" s="10"/>
      <c r="DP740" s="10"/>
      <c r="DQ740" s="10"/>
      <c r="DR740" s="10"/>
    </row>
    <row r="741" spans="1:122" ht="15.75" customHeight="1">
      <c r="A741" s="300"/>
      <c r="B741" s="300"/>
      <c r="C741" s="300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97"/>
      <c r="DH741" s="197"/>
      <c r="DI741" s="197"/>
      <c r="DJ741" s="10"/>
      <c r="DK741" s="10"/>
      <c r="DL741" s="10"/>
      <c r="DM741" s="10"/>
      <c r="DN741" s="10"/>
      <c r="DO741" s="10"/>
      <c r="DP741" s="10"/>
      <c r="DQ741" s="10"/>
      <c r="DR741" s="10"/>
    </row>
    <row r="742" spans="1:122" ht="15.75" customHeight="1">
      <c r="A742" s="300"/>
      <c r="B742" s="300"/>
      <c r="C742" s="300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97"/>
      <c r="DH742" s="197"/>
      <c r="DI742" s="197"/>
      <c r="DJ742" s="10"/>
      <c r="DK742" s="10"/>
      <c r="DL742" s="10"/>
      <c r="DM742" s="10"/>
      <c r="DN742" s="10"/>
      <c r="DO742" s="10"/>
      <c r="DP742" s="10"/>
      <c r="DQ742" s="10"/>
      <c r="DR742" s="10"/>
    </row>
    <row r="743" spans="1:122" ht="15.75" customHeight="1">
      <c r="A743" s="300"/>
      <c r="B743" s="300"/>
      <c r="C743" s="300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97"/>
      <c r="DH743" s="197"/>
      <c r="DI743" s="197"/>
      <c r="DJ743" s="10"/>
      <c r="DK743" s="10"/>
      <c r="DL743" s="10"/>
      <c r="DM743" s="10"/>
      <c r="DN743" s="10"/>
      <c r="DO743" s="10"/>
      <c r="DP743" s="10"/>
      <c r="DQ743" s="10"/>
      <c r="DR743" s="10"/>
    </row>
    <row r="744" spans="1:122" ht="15.75" customHeight="1">
      <c r="A744" s="300"/>
      <c r="B744" s="300"/>
      <c r="C744" s="300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97"/>
      <c r="DH744" s="197"/>
      <c r="DI744" s="197"/>
      <c r="DJ744" s="10"/>
      <c r="DK744" s="10"/>
      <c r="DL744" s="10"/>
      <c r="DM744" s="10"/>
      <c r="DN744" s="10"/>
      <c r="DO744" s="10"/>
      <c r="DP744" s="10"/>
      <c r="DQ744" s="10"/>
      <c r="DR744" s="10"/>
    </row>
    <row r="745" spans="1:122" ht="15.75" customHeight="1">
      <c r="A745" s="300"/>
      <c r="B745" s="300"/>
      <c r="C745" s="300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97"/>
      <c r="DH745" s="197"/>
      <c r="DI745" s="197"/>
      <c r="DJ745" s="10"/>
      <c r="DK745" s="10"/>
      <c r="DL745" s="10"/>
      <c r="DM745" s="10"/>
      <c r="DN745" s="10"/>
      <c r="DO745" s="10"/>
      <c r="DP745" s="10"/>
      <c r="DQ745" s="10"/>
      <c r="DR745" s="10"/>
    </row>
    <row r="746" spans="1:122" ht="15.75" customHeight="1">
      <c r="A746" s="300"/>
      <c r="B746" s="300"/>
      <c r="C746" s="300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97"/>
      <c r="DH746" s="197"/>
      <c r="DI746" s="197"/>
      <c r="DJ746" s="10"/>
      <c r="DK746" s="10"/>
      <c r="DL746" s="10"/>
      <c r="DM746" s="10"/>
      <c r="DN746" s="10"/>
      <c r="DO746" s="10"/>
      <c r="DP746" s="10"/>
      <c r="DQ746" s="10"/>
      <c r="DR746" s="10"/>
    </row>
    <row r="747" spans="1:122" ht="15.75" customHeight="1">
      <c r="A747" s="300"/>
      <c r="B747" s="300"/>
      <c r="C747" s="300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97"/>
      <c r="DH747" s="197"/>
      <c r="DI747" s="197"/>
      <c r="DJ747" s="10"/>
      <c r="DK747" s="10"/>
      <c r="DL747" s="10"/>
      <c r="DM747" s="10"/>
      <c r="DN747" s="10"/>
      <c r="DO747" s="10"/>
      <c r="DP747" s="10"/>
      <c r="DQ747" s="10"/>
      <c r="DR747" s="10"/>
    </row>
    <row r="748" spans="1:122" ht="15.75" customHeight="1">
      <c r="A748" s="300"/>
      <c r="B748" s="300"/>
      <c r="C748" s="300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97"/>
      <c r="DH748" s="197"/>
      <c r="DI748" s="197"/>
      <c r="DJ748" s="10"/>
      <c r="DK748" s="10"/>
      <c r="DL748" s="10"/>
      <c r="DM748" s="10"/>
      <c r="DN748" s="10"/>
      <c r="DO748" s="10"/>
      <c r="DP748" s="10"/>
      <c r="DQ748" s="10"/>
      <c r="DR748" s="10"/>
    </row>
    <row r="749" spans="1:122" ht="15.75" customHeight="1">
      <c r="A749" s="300"/>
      <c r="B749" s="300"/>
      <c r="C749" s="300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97"/>
      <c r="DH749" s="197"/>
      <c r="DI749" s="197"/>
      <c r="DJ749" s="10"/>
      <c r="DK749" s="10"/>
      <c r="DL749" s="10"/>
      <c r="DM749" s="10"/>
      <c r="DN749" s="10"/>
      <c r="DO749" s="10"/>
      <c r="DP749" s="10"/>
      <c r="DQ749" s="10"/>
      <c r="DR749" s="10"/>
    </row>
    <row r="750" spans="1:122" ht="15.75" customHeight="1">
      <c r="A750" s="300"/>
      <c r="B750" s="300"/>
      <c r="C750" s="300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97"/>
      <c r="DH750" s="197"/>
      <c r="DI750" s="197"/>
      <c r="DJ750" s="10"/>
      <c r="DK750" s="10"/>
      <c r="DL750" s="10"/>
      <c r="DM750" s="10"/>
      <c r="DN750" s="10"/>
      <c r="DO750" s="10"/>
      <c r="DP750" s="10"/>
      <c r="DQ750" s="10"/>
      <c r="DR750" s="10"/>
    </row>
    <row r="751" spans="1:122" ht="15.75" customHeight="1">
      <c r="A751" s="300"/>
      <c r="B751" s="300"/>
      <c r="C751" s="300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97"/>
      <c r="DH751" s="197"/>
      <c r="DI751" s="197"/>
      <c r="DJ751" s="10"/>
      <c r="DK751" s="10"/>
      <c r="DL751" s="10"/>
      <c r="DM751" s="10"/>
      <c r="DN751" s="10"/>
      <c r="DO751" s="10"/>
      <c r="DP751" s="10"/>
      <c r="DQ751" s="10"/>
      <c r="DR751" s="10"/>
    </row>
    <row r="752" spans="1:122" ht="15.75" customHeight="1">
      <c r="A752" s="300"/>
      <c r="B752" s="300"/>
      <c r="C752" s="300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97"/>
      <c r="DH752" s="197"/>
      <c r="DI752" s="197"/>
      <c r="DJ752" s="10"/>
      <c r="DK752" s="10"/>
      <c r="DL752" s="10"/>
      <c r="DM752" s="10"/>
      <c r="DN752" s="10"/>
      <c r="DO752" s="10"/>
      <c r="DP752" s="10"/>
      <c r="DQ752" s="10"/>
      <c r="DR752" s="10"/>
    </row>
    <row r="753" spans="1:122" ht="15.75" customHeight="1">
      <c r="A753" s="300"/>
      <c r="B753" s="300"/>
      <c r="C753" s="300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97"/>
      <c r="DH753" s="197"/>
      <c r="DI753" s="197"/>
      <c r="DJ753" s="10"/>
      <c r="DK753" s="10"/>
      <c r="DL753" s="10"/>
      <c r="DM753" s="10"/>
      <c r="DN753" s="10"/>
      <c r="DO753" s="10"/>
      <c r="DP753" s="10"/>
      <c r="DQ753" s="10"/>
      <c r="DR753" s="10"/>
    </row>
    <row r="754" spans="1:122" ht="15.75" customHeight="1">
      <c r="A754" s="300"/>
      <c r="B754" s="300"/>
      <c r="C754" s="300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97"/>
      <c r="DH754" s="197"/>
      <c r="DI754" s="197"/>
      <c r="DJ754" s="10"/>
      <c r="DK754" s="10"/>
      <c r="DL754" s="10"/>
      <c r="DM754" s="10"/>
      <c r="DN754" s="10"/>
      <c r="DO754" s="10"/>
      <c r="DP754" s="10"/>
      <c r="DQ754" s="10"/>
      <c r="DR754" s="10"/>
    </row>
    <row r="755" spans="1:122" ht="15.75" customHeight="1">
      <c r="A755" s="300"/>
      <c r="B755" s="300"/>
      <c r="C755" s="300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97"/>
      <c r="DH755" s="197"/>
      <c r="DI755" s="197"/>
      <c r="DJ755" s="10"/>
      <c r="DK755" s="10"/>
      <c r="DL755" s="10"/>
      <c r="DM755" s="10"/>
      <c r="DN755" s="10"/>
      <c r="DO755" s="10"/>
      <c r="DP755" s="10"/>
      <c r="DQ755" s="10"/>
      <c r="DR755" s="10"/>
    </row>
    <row r="756" spans="1:122" ht="15.75" customHeight="1">
      <c r="A756" s="300"/>
      <c r="B756" s="300"/>
      <c r="C756" s="300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97"/>
      <c r="DH756" s="197"/>
      <c r="DI756" s="197"/>
      <c r="DJ756" s="10"/>
      <c r="DK756" s="10"/>
      <c r="DL756" s="10"/>
      <c r="DM756" s="10"/>
      <c r="DN756" s="10"/>
      <c r="DO756" s="10"/>
      <c r="DP756" s="10"/>
      <c r="DQ756" s="10"/>
      <c r="DR756" s="10"/>
    </row>
    <row r="757" spans="1:122" ht="15.75" customHeight="1">
      <c r="A757" s="300"/>
      <c r="B757" s="300"/>
      <c r="C757" s="300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97"/>
      <c r="DH757" s="197"/>
      <c r="DI757" s="197"/>
      <c r="DJ757" s="10"/>
      <c r="DK757" s="10"/>
      <c r="DL757" s="10"/>
      <c r="DM757" s="10"/>
      <c r="DN757" s="10"/>
      <c r="DO757" s="10"/>
      <c r="DP757" s="10"/>
      <c r="DQ757" s="10"/>
      <c r="DR757" s="10"/>
    </row>
    <row r="758" spans="1:122" ht="15.75" customHeight="1">
      <c r="A758" s="300"/>
      <c r="B758" s="300"/>
      <c r="C758" s="300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97"/>
      <c r="DH758" s="197"/>
      <c r="DI758" s="197"/>
      <c r="DJ758" s="10"/>
      <c r="DK758" s="10"/>
      <c r="DL758" s="10"/>
      <c r="DM758" s="10"/>
      <c r="DN758" s="10"/>
      <c r="DO758" s="10"/>
      <c r="DP758" s="10"/>
      <c r="DQ758" s="10"/>
      <c r="DR758" s="10"/>
    </row>
    <row r="759" spans="1:122" ht="15.75" customHeight="1">
      <c r="A759" s="300"/>
      <c r="B759" s="300"/>
      <c r="C759" s="300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97"/>
      <c r="DH759" s="197"/>
      <c r="DI759" s="197"/>
      <c r="DJ759" s="10"/>
      <c r="DK759" s="10"/>
      <c r="DL759" s="10"/>
      <c r="DM759" s="10"/>
      <c r="DN759" s="10"/>
      <c r="DO759" s="10"/>
      <c r="DP759" s="10"/>
      <c r="DQ759" s="10"/>
      <c r="DR759" s="10"/>
    </row>
    <row r="760" spans="1:122" ht="15.75" customHeight="1">
      <c r="A760" s="300"/>
      <c r="B760" s="300"/>
      <c r="C760" s="300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97"/>
      <c r="DH760" s="197"/>
      <c r="DI760" s="197"/>
      <c r="DJ760" s="10"/>
      <c r="DK760" s="10"/>
      <c r="DL760" s="10"/>
      <c r="DM760" s="10"/>
      <c r="DN760" s="10"/>
      <c r="DO760" s="10"/>
      <c r="DP760" s="10"/>
      <c r="DQ760" s="10"/>
      <c r="DR760" s="10"/>
    </row>
    <row r="761" spans="1:122" ht="15.75" customHeight="1">
      <c r="A761" s="300"/>
      <c r="B761" s="300"/>
      <c r="C761" s="300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97"/>
      <c r="DH761" s="197"/>
      <c r="DI761" s="197"/>
      <c r="DJ761" s="10"/>
      <c r="DK761" s="10"/>
      <c r="DL761" s="10"/>
      <c r="DM761" s="10"/>
      <c r="DN761" s="10"/>
      <c r="DO761" s="10"/>
      <c r="DP761" s="10"/>
      <c r="DQ761" s="10"/>
      <c r="DR761" s="10"/>
    </row>
    <row r="762" spans="1:122" ht="15.75" customHeight="1">
      <c r="A762" s="300"/>
      <c r="B762" s="300"/>
      <c r="C762" s="300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97"/>
      <c r="DH762" s="197"/>
      <c r="DI762" s="197"/>
      <c r="DJ762" s="10"/>
      <c r="DK762" s="10"/>
      <c r="DL762" s="10"/>
      <c r="DM762" s="10"/>
      <c r="DN762" s="10"/>
      <c r="DO762" s="10"/>
      <c r="DP762" s="10"/>
      <c r="DQ762" s="10"/>
      <c r="DR762" s="10"/>
    </row>
    <row r="763" spans="1:122" ht="15.75" customHeight="1">
      <c r="A763" s="300"/>
      <c r="B763" s="300"/>
      <c r="C763" s="300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97"/>
      <c r="DH763" s="197"/>
      <c r="DI763" s="197"/>
      <c r="DJ763" s="10"/>
      <c r="DK763" s="10"/>
      <c r="DL763" s="10"/>
      <c r="DM763" s="10"/>
      <c r="DN763" s="10"/>
      <c r="DO763" s="10"/>
      <c r="DP763" s="10"/>
      <c r="DQ763" s="10"/>
      <c r="DR763" s="10"/>
    </row>
    <row r="764" spans="1:122" ht="15.75" customHeight="1">
      <c r="A764" s="300"/>
      <c r="B764" s="300"/>
      <c r="C764" s="300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97"/>
      <c r="DH764" s="197"/>
      <c r="DI764" s="197"/>
      <c r="DJ764" s="10"/>
      <c r="DK764" s="10"/>
      <c r="DL764" s="10"/>
      <c r="DM764" s="10"/>
      <c r="DN764" s="10"/>
      <c r="DO764" s="10"/>
      <c r="DP764" s="10"/>
      <c r="DQ764" s="10"/>
      <c r="DR764" s="10"/>
    </row>
    <row r="765" spans="1:122" ht="15.75" customHeight="1">
      <c r="A765" s="300"/>
      <c r="B765" s="300"/>
      <c r="C765" s="300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97"/>
      <c r="DH765" s="197"/>
      <c r="DI765" s="197"/>
      <c r="DJ765" s="10"/>
      <c r="DK765" s="10"/>
      <c r="DL765" s="10"/>
      <c r="DM765" s="10"/>
      <c r="DN765" s="10"/>
      <c r="DO765" s="10"/>
      <c r="DP765" s="10"/>
      <c r="DQ765" s="10"/>
      <c r="DR765" s="10"/>
    </row>
    <row r="766" spans="1:122" ht="15.75" customHeight="1">
      <c r="A766" s="300"/>
      <c r="B766" s="300"/>
      <c r="C766" s="300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97"/>
      <c r="DH766" s="197"/>
      <c r="DI766" s="197"/>
      <c r="DJ766" s="10"/>
      <c r="DK766" s="10"/>
      <c r="DL766" s="10"/>
      <c r="DM766" s="10"/>
      <c r="DN766" s="10"/>
      <c r="DO766" s="10"/>
      <c r="DP766" s="10"/>
      <c r="DQ766" s="10"/>
      <c r="DR766" s="10"/>
    </row>
    <row r="767" spans="1:122" ht="15.75" customHeight="1">
      <c r="A767" s="300"/>
      <c r="B767" s="300"/>
      <c r="C767" s="300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97"/>
      <c r="DH767" s="197"/>
      <c r="DI767" s="197"/>
      <c r="DJ767" s="10"/>
      <c r="DK767" s="10"/>
      <c r="DL767" s="10"/>
      <c r="DM767" s="10"/>
      <c r="DN767" s="10"/>
      <c r="DO767" s="10"/>
      <c r="DP767" s="10"/>
      <c r="DQ767" s="10"/>
      <c r="DR767" s="10"/>
    </row>
    <row r="768" spans="1:122" ht="15.75" customHeight="1">
      <c r="A768" s="300"/>
      <c r="B768" s="300"/>
      <c r="C768" s="300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97"/>
      <c r="DH768" s="197"/>
      <c r="DI768" s="197"/>
      <c r="DJ768" s="10"/>
      <c r="DK768" s="10"/>
      <c r="DL768" s="10"/>
      <c r="DM768" s="10"/>
      <c r="DN768" s="10"/>
      <c r="DO768" s="10"/>
      <c r="DP768" s="10"/>
      <c r="DQ768" s="10"/>
      <c r="DR768" s="10"/>
    </row>
    <row r="769" spans="1:122" ht="15.75" customHeight="1">
      <c r="A769" s="300"/>
      <c r="B769" s="300"/>
      <c r="C769" s="300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97"/>
      <c r="DH769" s="197"/>
      <c r="DI769" s="197"/>
      <c r="DJ769" s="10"/>
      <c r="DK769" s="10"/>
      <c r="DL769" s="10"/>
      <c r="DM769" s="10"/>
      <c r="DN769" s="10"/>
      <c r="DO769" s="10"/>
      <c r="DP769" s="10"/>
      <c r="DQ769" s="10"/>
      <c r="DR769" s="10"/>
    </row>
    <row r="770" spans="1:122" ht="15.75" customHeight="1">
      <c r="A770" s="300"/>
      <c r="B770" s="300"/>
      <c r="C770" s="300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97"/>
      <c r="DH770" s="197"/>
      <c r="DI770" s="197"/>
      <c r="DJ770" s="10"/>
      <c r="DK770" s="10"/>
      <c r="DL770" s="10"/>
      <c r="DM770" s="10"/>
      <c r="DN770" s="10"/>
      <c r="DO770" s="10"/>
      <c r="DP770" s="10"/>
      <c r="DQ770" s="10"/>
      <c r="DR770" s="10"/>
    </row>
    <row r="771" spans="1:122" ht="15.75" customHeight="1">
      <c r="A771" s="300"/>
      <c r="B771" s="300"/>
      <c r="C771" s="300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97"/>
      <c r="DH771" s="197"/>
      <c r="DI771" s="197"/>
      <c r="DJ771" s="10"/>
      <c r="DK771" s="10"/>
      <c r="DL771" s="10"/>
      <c r="DM771" s="10"/>
      <c r="DN771" s="10"/>
      <c r="DO771" s="10"/>
      <c r="DP771" s="10"/>
      <c r="DQ771" s="10"/>
      <c r="DR771" s="10"/>
    </row>
    <row r="772" spans="1:122" ht="15.75" customHeight="1">
      <c r="A772" s="300"/>
      <c r="B772" s="300"/>
      <c r="C772" s="300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97"/>
      <c r="DH772" s="197"/>
      <c r="DI772" s="197"/>
      <c r="DJ772" s="10"/>
      <c r="DK772" s="10"/>
      <c r="DL772" s="10"/>
      <c r="DM772" s="10"/>
      <c r="DN772" s="10"/>
      <c r="DO772" s="10"/>
      <c r="DP772" s="10"/>
      <c r="DQ772" s="10"/>
      <c r="DR772" s="10"/>
    </row>
    <row r="773" spans="1:122" ht="15.75" customHeight="1">
      <c r="A773" s="300"/>
      <c r="B773" s="300"/>
      <c r="C773" s="300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97"/>
      <c r="DH773" s="197"/>
      <c r="DI773" s="197"/>
      <c r="DJ773" s="10"/>
      <c r="DK773" s="10"/>
      <c r="DL773" s="10"/>
      <c r="DM773" s="10"/>
      <c r="DN773" s="10"/>
      <c r="DO773" s="10"/>
      <c r="DP773" s="10"/>
      <c r="DQ773" s="10"/>
      <c r="DR773" s="10"/>
    </row>
    <row r="774" spans="1:122" ht="15.75" customHeight="1">
      <c r="A774" s="300"/>
      <c r="B774" s="300"/>
      <c r="C774" s="300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97"/>
      <c r="DH774" s="197"/>
      <c r="DI774" s="197"/>
      <c r="DJ774" s="10"/>
      <c r="DK774" s="10"/>
      <c r="DL774" s="10"/>
      <c r="DM774" s="10"/>
      <c r="DN774" s="10"/>
      <c r="DO774" s="10"/>
      <c r="DP774" s="10"/>
      <c r="DQ774" s="10"/>
      <c r="DR774" s="10"/>
    </row>
    <row r="775" spans="1:122" ht="15.75" customHeight="1">
      <c r="A775" s="300"/>
      <c r="B775" s="300"/>
      <c r="C775" s="300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97"/>
      <c r="DH775" s="197"/>
      <c r="DI775" s="197"/>
      <c r="DJ775" s="10"/>
      <c r="DK775" s="10"/>
      <c r="DL775" s="10"/>
      <c r="DM775" s="10"/>
      <c r="DN775" s="10"/>
      <c r="DO775" s="10"/>
      <c r="DP775" s="10"/>
      <c r="DQ775" s="10"/>
      <c r="DR775" s="10"/>
    </row>
    <row r="776" spans="1:122" ht="15.75" customHeight="1">
      <c r="A776" s="300"/>
      <c r="B776" s="300"/>
      <c r="C776" s="300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97"/>
      <c r="DH776" s="197"/>
      <c r="DI776" s="197"/>
      <c r="DJ776" s="10"/>
      <c r="DK776" s="10"/>
      <c r="DL776" s="10"/>
      <c r="DM776" s="10"/>
      <c r="DN776" s="10"/>
      <c r="DO776" s="10"/>
      <c r="DP776" s="10"/>
      <c r="DQ776" s="10"/>
      <c r="DR776" s="10"/>
    </row>
    <row r="777" spans="1:122" ht="15.75" customHeight="1">
      <c r="A777" s="300"/>
      <c r="B777" s="300"/>
      <c r="C777" s="300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97"/>
      <c r="DH777" s="197"/>
      <c r="DI777" s="197"/>
      <c r="DJ777" s="10"/>
      <c r="DK777" s="10"/>
      <c r="DL777" s="10"/>
      <c r="DM777" s="10"/>
      <c r="DN777" s="10"/>
      <c r="DO777" s="10"/>
      <c r="DP777" s="10"/>
      <c r="DQ777" s="10"/>
      <c r="DR777" s="10"/>
    </row>
    <row r="778" spans="1:122" ht="15.75" customHeight="1">
      <c r="A778" s="300"/>
      <c r="B778" s="300"/>
      <c r="C778" s="300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97"/>
      <c r="DH778" s="197"/>
      <c r="DI778" s="197"/>
      <c r="DJ778" s="10"/>
      <c r="DK778" s="10"/>
      <c r="DL778" s="10"/>
      <c r="DM778" s="10"/>
      <c r="DN778" s="10"/>
      <c r="DO778" s="10"/>
      <c r="DP778" s="10"/>
      <c r="DQ778" s="10"/>
      <c r="DR778" s="10"/>
    </row>
    <row r="779" spans="1:122" ht="15.75" customHeight="1">
      <c r="A779" s="300"/>
      <c r="B779" s="300"/>
      <c r="C779" s="300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97"/>
      <c r="DH779" s="197"/>
      <c r="DI779" s="197"/>
      <c r="DJ779" s="10"/>
      <c r="DK779" s="10"/>
      <c r="DL779" s="10"/>
      <c r="DM779" s="10"/>
      <c r="DN779" s="10"/>
      <c r="DO779" s="10"/>
      <c r="DP779" s="10"/>
      <c r="DQ779" s="10"/>
      <c r="DR779" s="10"/>
    </row>
    <row r="780" spans="1:122" ht="15.75" customHeight="1">
      <c r="A780" s="300"/>
      <c r="B780" s="300"/>
      <c r="C780" s="300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97"/>
      <c r="DH780" s="197"/>
      <c r="DI780" s="197"/>
      <c r="DJ780" s="10"/>
      <c r="DK780" s="10"/>
      <c r="DL780" s="10"/>
      <c r="DM780" s="10"/>
      <c r="DN780" s="10"/>
      <c r="DO780" s="10"/>
      <c r="DP780" s="10"/>
      <c r="DQ780" s="10"/>
      <c r="DR780" s="10"/>
    </row>
    <row r="781" spans="1:122" ht="15.75" customHeight="1">
      <c r="A781" s="300"/>
      <c r="B781" s="300"/>
      <c r="C781" s="300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97"/>
      <c r="DH781" s="197"/>
      <c r="DI781" s="197"/>
      <c r="DJ781" s="10"/>
      <c r="DK781" s="10"/>
      <c r="DL781" s="10"/>
      <c r="DM781" s="10"/>
      <c r="DN781" s="10"/>
      <c r="DO781" s="10"/>
      <c r="DP781" s="10"/>
      <c r="DQ781" s="10"/>
      <c r="DR781" s="10"/>
    </row>
    <row r="782" spans="1:122" ht="15.75" customHeight="1">
      <c r="A782" s="300"/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97"/>
      <c r="DH782" s="197"/>
      <c r="DI782" s="197"/>
      <c r="DJ782" s="10"/>
      <c r="DK782" s="10"/>
      <c r="DL782" s="10"/>
      <c r="DM782" s="10"/>
      <c r="DN782" s="10"/>
      <c r="DO782" s="10"/>
      <c r="DP782" s="10"/>
      <c r="DQ782" s="10"/>
      <c r="DR782" s="10"/>
    </row>
    <row r="783" spans="1:122" ht="15.75" customHeight="1">
      <c r="A783" s="300"/>
      <c r="B783" s="300"/>
      <c r="C783" s="300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97"/>
      <c r="DH783" s="197"/>
      <c r="DI783" s="197"/>
      <c r="DJ783" s="10"/>
      <c r="DK783" s="10"/>
      <c r="DL783" s="10"/>
      <c r="DM783" s="10"/>
      <c r="DN783" s="10"/>
      <c r="DO783" s="10"/>
      <c r="DP783" s="10"/>
      <c r="DQ783" s="10"/>
      <c r="DR783" s="10"/>
    </row>
    <row r="784" spans="1:122" ht="15.75" customHeight="1">
      <c r="A784" s="300"/>
      <c r="B784" s="300"/>
      <c r="C784" s="300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97"/>
      <c r="DH784" s="197"/>
      <c r="DI784" s="197"/>
      <c r="DJ784" s="10"/>
      <c r="DK784" s="10"/>
      <c r="DL784" s="10"/>
      <c r="DM784" s="10"/>
      <c r="DN784" s="10"/>
      <c r="DO784" s="10"/>
      <c r="DP784" s="10"/>
      <c r="DQ784" s="10"/>
      <c r="DR784" s="10"/>
    </row>
    <row r="785" spans="1:122" ht="15.75" customHeight="1">
      <c r="A785" s="300"/>
      <c r="B785" s="300"/>
      <c r="C785" s="300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97"/>
      <c r="DH785" s="197"/>
      <c r="DI785" s="197"/>
      <c r="DJ785" s="10"/>
      <c r="DK785" s="10"/>
      <c r="DL785" s="10"/>
      <c r="DM785" s="10"/>
      <c r="DN785" s="10"/>
      <c r="DO785" s="10"/>
      <c r="DP785" s="10"/>
      <c r="DQ785" s="10"/>
      <c r="DR785" s="10"/>
    </row>
    <row r="786" spans="1:122" ht="15.75" customHeight="1">
      <c r="A786" s="300"/>
      <c r="B786" s="300"/>
      <c r="C786" s="300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97"/>
      <c r="DH786" s="197"/>
      <c r="DI786" s="197"/>
      <c r="DJ786" s="10"/>
      <c r="DK786" s="10"/>
      <c r="DL786" s="10"/>
      <c r="DM786" s="10"/>
      <c r="DN786" s="10"/>
      <c r="DO786" s="10"/>
      <c r="DP786" s="10"/>
      <c r="DQ786" s="10"/>
      <c r="DR786" s="10"/>
    </row>
    <row r="787" spans="1:122" ht="15.75" customHeight="1">
      <c r="A787" s="300"/>
      <c r="B787" s="300"/>
      <c r="C787" s="300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97"/>
      <c r="DH787" s="197"/>
      <c r="DI787" s="197"/>
      <c r="DJ787" s="10"/>
      <c r="DK787" s="10"/>
      <c r="DL787" s="10"/>
      <c r="DM787" s="10"/>
      <c r="DN787" s="10"/>
      <c r="DO787" s="10"/>
      <c r="DP787" s="10"/>
      <c r="DQ787" s="10"/>
      <c r="DR787" s="10"/>
    </row>
    <row r="788" spans="1:122" ht="15.75" customHeight="1">
      <c r="A788" s="300"/>
      <c r="B788" s="300"/>
      <c r="C788" s="300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97"/>
      <c r="DH788" s="197"/>
      <c r="DI788" s="197"/>
      <c r="DJ788" s="10"/>
      <c r="DK788" s="10"/>
      <c r="DL788" s="10"/>
      <c r="DM788" s="10"/>
      <c r="DN788" s="10"/>
      <c r="DO788" s="10"/>
      <c r="DP788" s="10"/>
      <c r="DQ788" s="10"/>
      <c r="DR788" s="10"/>
    </row>
    <row r="789" spans="1:122" ht="15.75" customHeight="1">
      <c r="A789" s="300"/>
      <c r="B789" s="300"/>
      <c r="C789" s="300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97"/>
      <c r="DH789" s="197"/>
      <c r="DI789" s="197"/>
      <c r="DJ789" s="10"/>
      <c r="DK789" s="10"/>
      <c r="DL789" s="10"/>
      <c r="DM789" s="10"/>
      <c r="DN789" s="10"/>
      <c r="DO789" s="10"/>
      <c r="DP789" s="10"/>
      <c r="DQ789" s="10"/>
      <c r="DR789" s="10"/>
    </row>
    <row r="790" spans="1:122" ht="15.75" customHeight="1">
      <c r="A790" s="300"/>
      <c r="B790" s="300"/>
      <c r="C790" s="300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97"/>
      <c r="DH790" s="197"/>
      <c r="DI790" s="197"/>
      <c r="DJ790" s="10"/>
      <c r="DK790" s="10"/>
      <c r="DL790" s="10"/>
      <c r="DM790" s="10"/>
      <c r="DN790" s="10"/>
      <c r="DO790" s="10"/>
      <c r="DP790" s="10"/>
      <c r="DQ790" s="10"/>
      <c r="DR790" s="10"/>
    </row>
    <row r="791" spans="1:122" ht="15.75" customHeight="1">
      <c r="A791" s="300"/>
      <c r="B791" s="300"/>
      <c r="C791" s="300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97"/>
      <c r="DH791" s="197"/>
      <c r="DI791" s="197"/>
      <c r="DJ791" s="10"/>
      <c r="DK791" s="10"/>
      <c r="DL791" s="10"/>
      <c r="DM791" s="10"/>
      <c r="DN791" s="10"/>
      <c r="DO791" s="10"/>
      <c r="DP791" s="10"/>
      <c r="DQ791" s="10"/>
      <c r="DR791" s="10"/>
    </row>
    <row r="792" spans="1:122" ht="15.75" customHeight="1">
      <c r="A792" s="300"/>
      <c r="B792" s="300"/>
      <c r="C792" s="300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97"/>
      <c r="DH792" s="197"/>
      <c r="DI792" s="197"/>
      <c r="DJ792" s="10"/>
      <c r="DK792" s="10"/>
      <c r="DL792" s="10"/>
      <c r="DM792" s="10"/>
      <c r="DN792" s="10"/>
      <c r="DO792" s="10"/>
      <c r="DP792" s="10"/>
      <c r="DQ792" s="10"/>
      <c r="DR792" s="10"/>
    </row>
    <row r="793" spans="1:122" ht="15.75" customHeight="1">
      <c r="A793" s="300"/>
      <c r="B793" s="300"/>
      <c r="C793" s="300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97"/>
      <c r="DH793" s="197"/>
      <c r="DI793" s="197"/>
      <c r="DJ793" s="10"/>
      <c r="DK793" s="10"/>
      <c r="DL793" s="10"/>
      <c r="DM793" s="10"/>
      <c r="DN793" s="10"/>
      <c r="DO793" s="10"/>
      <c r="DP793" s="10"/>
      <c r="DQ793" s="10"/>
      <c r="DR793" s="10"/>
    </row>
    <row r="794" spans="1:122" ht="15.75" customHeight="1">
      <c r="A794" s="300"/>
      <c r="B794" s="300"/>
      <c r="C794" s="300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97"/>
      <c r="DH794" s="197"/>
      <c r="DI794" s="197"/>
      <c r="DJ794" s="10"/>
      <c r="DK794" s="10"/>
      <c r="DL794" s="10"/>
      <c r="DM794" s="10"/>
      <c r="DN794" s="10"/>
      <c r="DO794" s="10"/>
      <c r="DP794" s="10"/>
      <c r="DQ794" s="10"/>
      <c r="DR794" s="10"/>
    </row>
    <row r="795" spans="1:122" ht="15.75" customHeight="1">
      <c r="A795" s="300"/>
      <c r="B795" s="300"/>
      <c r="C795" s="300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97"/>
      <c r="DH795" s="197"/>
      <c r="DI795" s="197"/>
      <c r="DJ795" s="10"/>
      <c r="DK795" s="10"/>
      <c r="DL795" s="10"/>
      <c r="DM795" s="10"/>
      <c r="DN795" s="10"/>
      <c r="DO795" s="10"/>
      <c r="DP795" s="10"/>
      <c r="DQ795" s="10"/>
      <c r="DR795" s="10"/>
    </row>
    <row r="796" spans="1:122" ht="15.75" customHeight="1">
      <c r="A796" s="300"/>
      <c r="B796" s="300"/>
      <c r="C796" s="300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97"/>
      <c r="DH796" s="197"/>
      <c r="DI796" s="197"/>
      <c r="DJ796" s="10"/>
      <c r="DK796" s="10"/>
      <c r="DL796" s="10"/>
      <c r="DM796" s="10"/>
      <c r="DN796" s="10"/>
      <c r="DO796" s="10"/>
      <c r="DP796" s="10"/>
      <c r="DQ796" s="10"/>
      <c r="DR796" s="10"/>
    </row>
    <row r="797" spans="1:122" ht="15.75" customHeight="1">
      <c r="A797" s="300"/>
      <c r="B797" s="300"/>
      <c r="C797" s="300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97"/>
      <c r="DH797" s="197"/>
      <c r="DI797" s="197"/>
      <c r="DJ797" s="10"/>
      <c r="DK797" s="10"/>
      <c r="DL797" s="10"/>
      <c r="DM797" s="10"/>
      <c r="DN797" s="10"/>
      <c r="DO797" s="10"/>
      <c r="DP797" s="10"/>
      <c r="DQ797" s="10"/>
      <c r="DR797" s="10"/>
    </row>
    <row r="798" spans="1:122" ht="15.75" customHeight="1">
      <c r="A798" s="300"/>
      <c r="B798" s="300"/>
      <c r="C798" s="300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97"/>
      <c r="DH798" s="197"/>
      <c r="DI798" s="197"/>
      <c r="DJ798" s="10"/>
      <c r="DK798" s="10"/>
      <c r="DL798" s="10"/>
      <c r="DM798" s="10"/>
      <c r="DN798" s="10"/>
      <c r="DO798" s="10"/>
      <c r="DP798" s="10"/>
      <c r="DQ798" s="10"/>
      <c r="DR798" s="10"/>
    </row>
    <row r="799" spans="1:122" ht="15.75" customHeight="1">
      <c r="A799" s="300"/>
      <c r="B799" s="300"/>
      <c r="C799" s="300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97"/>
      <c r="DH799" s="197"/>
      <c r="DI799" s="197"/>
      <c r="DJ799" s="10"/>
      <c r="DK799" s="10"/>
      <c r="DL799" s="10"/>
      <c r="DM799" s="10"/>
      <c r="DN799" s="10"/>
      <c r="DO799" s="10"/>
      <c r="DP799" s="10"/>
      <c r="DQ799" s="10"/>
      <c r="DR799" s="10"/>
    </row>
    <row r="800" spans="1:122" ht="15.75" customHeight="1">
      <c r="A800" s="300"/>
      <c r="B800" s="300"/>
      <c r="C800" s="300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97"/>
      <c r="DH800" s="197"/>
      <c r="DI800" s="197"/>
      <c r="DJ800" s="10"/>
      <c r="DK800" s="10"/>
      <c r="DL800" s="10"/>
      <c r="DM800" s="10"/>
      <c r="DN800" s="10"/>
      <c r="DO800" s="10"/>
      <c r="DP800" s="10"/>
      <c r="DQ800" s="10"/>
      <c r="DR800" s="10"/>
    </row>
    <row r="801" spans="1:122" ht="15.75" customHeight="1">
      <c r="A801" s="300"/>
      <c r="B801" s="300"/>
      <c r="C801" s="300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97"/>
      <c r="DH801" s="197"/>
      <c r="DI801" s="197"/>
      <c r="DJ801" s="10"/>
      <c r="DK801" s="10"/>
      <c r="DL801" s="10"/>
      <c r="DM801" s="10"/>
      <c r="DN801" s="10"/>
      <c r="DO801" s="10"/>
      <c r="DP801" s="10"/>
      <c r="DQ801" s="10"/>
      <c r="DR801" s="10"/>
    </row>
    <row r="802" spans="1:122" ht="15.75" customHeight="1">
      <c r="A802" s="300"/>
      <c r="B802" s="300"/>
      <c r="C802" s="300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97"/>
      <c r="DH802" s="197"/>
      <c r="DI802" s="197"/>
      <c r="DJ802" s="10"/>
      <c r="DK802" s="10"/>
      <c r="DL802" s="10"/>
      <c r="DM802" s="10"/>
      <c r="DN802" s="10"/>
      <c r="DO802" s="10"/>
      <c r="DP802" s="10"/>
      <c r="DQ802" s="10"/>
      <c r="DR802" s="10"/>
    </row>
    <row r="803" spans="1:122" ht="15.75" customHeight="1">
      <c r="A803" s="300"/>
      <c r="B803" s="300"/>
      <c r="C803" s="300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97"/>
      <c r="DH803" s="197"/>
      <c r="DI803" s="197"/>
      <c r="DJ803" s="10"/>
      <c r="DK803" s="10"/>
      <c r="DL803" s="10"/>
      <c r="DM803" s="10"/>
      <c r="DN803" s="10"/>
      <c r="DO803" s="10"/>
      <c r="DP803" s="10"/>
      <c r="DQ803" s="10"/>
      <c r="DR803" s="10"/>
    </row>
    <row r="804" spans="1:122" ht="15.75" customHeight="1">
      <c r="A804" s="300"/>
      <c r="B804" s="300"/>
      <c r="C804" s="300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97"/>
      <c r="DH804" s="197"/>
      <c r="DI804" s="197"/>
      <c r="DJ804" s="10"/>
      <c r="DK804" s="10"/>
      <c r="DL804" s="10"/>
      <c r="DM804" s="10"/>
      <c r="DN804" s="10"/>
      <c r="DO804" s="10"/>
      <c r="DP804" s="10"/>
      <c r="DQ804" s="10"/>
      <c r="DR804" s="10"/>
    </row>
    <row r="805" spans="1:122" ht="15.75" customHeight="1">
      <c r="A805" s="300"/>
      <c r="B805" s="300"/>
      <c r="C805" s="300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97"/>
      <c r="DH805" s="197"/>
      <c r="DI805" s="197"/>
      <c r="DJ805" s="10"/>
      <c r="DK805" s="10"/>
      <c r="DL805" s="10"/>
      <c r="DM805" s="10"/>
      <c r="DN805" s="10"/>
      <c r="DO805" s="10"/>
      <c r="DP805" s="10"/>
      <c r="DQ805" s="10"/>
      <c r="DR805" s="10"/>
    </row>
    <row r="806" spans="1:122" ht="15.75" customHeight="1">
      <c r="A806" s="300"/>
      <c r="B806" s="300"/>
      <c r="C806" s="300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97"/>
      <c r="DH806" s="197"/>
      <c r="DI806" s="197"/>
      <c r="DJ806" s="10"/>
      <c r="DK806" s="10"/>
      <c r="DL806" s="10"/>
      <c r="DM806" s="10"/>
      <c r="DN806" s="10"/>
      <c r="DO806" s="10"/>
      <c r="DP806" s="10"/>
      <c r="DQ806" s="10"/>
      <c r="DR806" s="10"/>
    </row>
    <row r="807" spans="1:122" ht="15.75" customHeight="1">
      <c r="A807" s="300"/>
      <c r="B807" s="300"/>
      <c r="C807" s="300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97"/>
      <c r="DH807" s="197"/>
      <c r="DI807" s="197"/>
      <c r="DJ807" s="10"/>
      <c r="DK807" s="10"/>
      <c r="DL807" s="10"/>
      <c r="DM807" s="10"/>
      <c r="DN807" s="10"/>
      <c r="DO807" s="10"/>
      <c r="DP807" s="10"/>
      <c r="DQ807" s="10"/>
      <c r="DR807" s="10"/>
    </row>
    <row r="808" spans="1:122" ht="15.75" customHeight="1">
      <c r="A808" s="300"/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97"/>
      <c r="DH808" s="197"/>
      <c r="DI808" s="197"/>
      <c r="DJ808" s="10"/>
      <c r="DK808" s="10"/>
      <c r="DL808" s="10"/>
      <c r="DM808" s="10"/>
      <c r="DN808" s="10"/>
      <c r="DO808" s="10"/>
      <c r="DP808" s="10"/>
      <c r="DQ808" s="10"/>
      <c r="DR808" s="10"/>
    </row>
    <row r="809" spans="1:122" ht="15.75" customHeight="1">
      <c r="A809" s="300"/>
      <c r="B809" s="300"/>
      <c r="C809" s="300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97"/>
      <c r="DH809" s="197"/>
      <c r="DI809" s="197"/>
      <c r="DJ809" s="10"/>
      <c r="DK809" s="10"/>
      <c r="DL809" s="10"/>
      <c r="DM809" s="10"/>
      <c r="DN809" s="10"/>
      <c r="DO809" s="10"/>
      <c r="DP809" s="10"/>
      <c r="DQ809" s="10"/>
      <c r="DR809" s="10"/>
    </row>
    <row r="810" spans="1:122" ht="15.75" customHeight="1">
      <c r="A810" s="300"/>
      <c r="B810" s="300"/>
      <c r="C810" s="300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97"/>
      <c r="DH810" s="197"/>
      <c r="DI810" s="197"/>
      <c r="DJ810" s="10"/>
      <c r="DK810" s="10"/>
      <c r="DL810" s="10"/>
      <c r="DM810" s="10"/>
      <c r="DN810" s="10"/>
      <c r="DO810" s="10"/>
      <c r="DP810" s="10"/>
      <c r="DQ810" s="10"/>
      <c r="DR810" s="10"/>
    </row>
    <row r="811" spans="1:122" ht="15.75" customHeight="1">
      <c r="A811" s="300"/>
      <c r="B811" s="300"/>
      <c r="C811" s="300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97"/>
      <c r="DH811" s="197"/>
      <c r="DI811" s="197"/>
      <c r="DJ811" s="10"/>
      <c r="DK811" s="10"/>
      <c r="DL811" s="10"/>
      <c r="DM811" s="10"/>
      <c r="DN811" s="10"/>
      <c r="DO811" s="10"/>
      <c r="DP811" s="10"/>
      <c r="DQ811" s="10"/>
      <c r="DR811" s="10"/>
    </row>
    <row r="812" spans="1:122" ht="15.75" customHeight="1">
      <c r="A812" s="300"/>
      <c r="B812" s="300"/>
      <c r="C812" s="300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97"/>
      <c r="DH812" s="197"/>
      <c r="DI812" s="197"/>
      <c r="DJ812" s="10"/>
      <c r="DK812" s="10"/>
      <c r="DL812" s="10"/>
      <c r="DM812" s="10"/>
      <c r="DN812" s="10"/>
      <c r="DO812" s="10"/>
      <c r="DP812" s="10"/>
      <c r="DQ812" s="10"/>
      <c r="DR812" s="10"/>
    </row>
    <row r="813" spans="1:122" ht="15.75" customHeight="1">
      <c r="A813" s="300"/>
      <c r="B813" s="300"/>
      <c r="C813" s="300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97"/>
      <c r="DH813" s="197"/>
      <c r="DI813" s="197"/>
      <c r="DJ813" s="10"/>
      <c r="DK813" s="10"/>
      <c r="DL813" s="10"/>
      <c r="DM813" s="10"/>
      <c r="DN813" s="10"/>
      <c r="DO813" s="10"/>
      <c r="DP813" s="10"/>
      <c r="DQ813" s="10"/>
      <c r="DR813" s="10"/>
    </row>
    <row r="814" spans="1:122" ht="15.75" customHeight="1">
      <c r="A814" s="300"/>
      <c r="B814" s="300"/>
      <c r="C814" s="300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97"/>
      <c r="DH814" s="197"/>
      <c r="DI814" s="197"/>
      <c r="DJ814" s="10"/>
      <c r="DK814" s="10"/>
      <c r="DL814" s="10"/>
      <c r="DM814" s="10"/>
      <c r="DN814" s="10"/>
      <c r="DO814" s="10"/>
      <c r="DP814" s="10"/>
      <c r="DQ814" s="10"/>
      <c r="DR814" s="10"/>
    </row>
    <row r="815" spans="1:122" ht="15.75" customHeight="1">
      <c r="A815" s="300"/>
      <c r="B815" s="300"/>
      <c r="C815" s="300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97"/>
      <c r="DH815" s="197"/>
      <c r="DI815" s="197"/>
      <c r="DJ815" s="10"/>
      <c r="DK815" s="10"/>
      <c r="DL815" s="10"/>
      <c r="DM815" s="10"/>
      <c r="DN815" s="10"/>
      <c r="DO815" s="10"/>
      <c r="DP815" s="10"/>
      <c r="DQ815" s="10"/>
      <c r="DR815" s="10"/>
    </row>
    <row r="816" spans="1:122" ht="15.75" customHeight="1">
      <c r="A816" s="300"/>
      <c r="B816" s="300"/>
      <c r="C816" s="300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97"/>
      <c r="DH816" s="197"/>
      <c r="DI816" s="197"/>
      <c r="DJ816" s="10"/>
      <c r="DK816" s="10"/>
      <c r="DL816" s="10"/>
      <c r="DM816" s="10"/>
      <c r="DN816" s="10"/>
      <c r="DO816" s="10"/>
      <c r="DP816" s="10"/>
      <c r="DQ816" s="10"/>
      <c r="DR816" s="10"/>
    </row>
    <row r="817" spans="1:122" ht="15.75" customHeight="1">
      <c r="A817" s="300"/>
      <c r="B817" s="300"/>
      <c r="C817" s="300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97"/>
      <c r="DH817" s="197"/>
      <c r="DI817" s="197"/>
      <c r="DJ817" s="10"/>
      <c r="DK817" s="10"/>
      <c r="DL817" s="10"/>
      <c r="DM817" s="10"/>
      <c r="DN817" s="10"/>
      <c r="DO817" s="10"/>
      <c r="DP817" s="10"/>
      <c r="DQ817" s="10"/>
      <c r="DR817" s="10"/>
    </row>
    <row r="818" spans="1:122" ht="15.75" customHeight="1">
      <c r="A818" s="300"/>
      <c r="B818" s="300"/>
      <c r="C818" s="300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97"/>
      <c r="DH818" s="197"/>
      <c r="DI818" s="197"/>
      <c r="DJ818" s="10"/>
      <c r="DK818" s="10"/>
      <c r="DL818" s="10"/>
      <c r="DM818" s="10"/>
      <c r="DN818" s="10"/>
      <c r="DO818" s="10"/>
      <c r="DP818" s="10"/>
      <c r="DQ818" s="10"/>
      <c r="DR818" s="10"/>
    </row>
    <row r="819" spans="1:122" ht="15.75" customHeight="1">
      <c r="A819" s="300"/>
      <c r="B819" s="300"/>
      <c r="C819" s="300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97"/>
      <c r="DH819" s="197"/>
      <c r="DI819" s="197"/>
      <c r="DJ819" s="10"/>
      <c r="DK819" s="10"/>
      <c r="DL819" s="10"/>
      <c r="DM819" s="10"/>
      <c r="DN819" s="10"/>
      <c r="DO819" s="10"/>
      <c r="DP819" s="10"/>
      <c r="DQ819" s="10"/>
      <c r="DR819" s="10"/>
    </row>
    <row r="820" spans="1:122" ht="15.75" customHeight="1">
      <c r="A820" s="300"/>
      <c r="B820" s="300"/>
      <c r="C820" s="300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97"/>
      <c r="DH820" s="197"/>
      <c r="DI820" s="197"/>
      <c r="DJ820" s="10"/>
      <c r="DK820" s="10"/>
      <c r="DL820" s="10"/>
      <c r="DM820" s="10"/>
      <c r="DN820" s="10"/>
      <c r="DO820" s="10"/>
      <c r="DP820" s="10"/>
      <c r="DQ820" s="10"/>
      <c r="DR820" s="10"/>
    </row>
    <row r="821" spans="1:122" ht="15.75" customHeight="1">
      <c r="A821" s="300"/>
      <c r="B821" s="300"/>
      <c r="C821" s="300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97"/>
      <c r="DH821" s="197"/>
      <c r="DI821" s="197"/>
      <c r="DJ821" s="10"/>
      <c r="DK821" s="10"/>
      <c r="DL821" s="10"/>
      <c r="DM821" s="10"/>
      <c r="DN821" s="10"/>
      <c r="DO821" s="10"/>
      <c r="DP821" s="10"/>
      <c r="DQ821" s="10"/>
      <c r="DR821" s="10"/>
    </row>
    <row r="822" spans="1:122" ht="15.75" customHeight="1">
      <c r="A822" s="300"/>
      <c r="B822" s="300"/>
      <c r="C822" s="300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97"/>
      <c r="DH822" s="197"/>
      <c r="DI822" s="197"/>
      <c r="DJ822" s="10"/>
      <c r="DK822" s="10"/>
      <c r="DL822" s="10"/>
      <c r="DM822" s="10"/>
      <c r="DN822" s="10"/>
      <c r="DO822" s="10"/>
      <c r="DP822" s="10"/>
      <c r="DQ822" s="10"/>
      <c r="DR822" s="10"/>
    </row>
    <row r="823" spans="1:122" ht="15.75" customHeight="1">
      <c r="A823" s="300"/>
      <c r="B823" s="300"/>
      <c r="C823" s="300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97"/>
      <c r="DH823" s="197"/>
      <c r="DI823" s="197"/>
      <c r="DJ823" s="10"/>
      <c r="DK823" s="10"/>
      <c r="DL823" s="10"/>
      <c r="DM823" s="10"/>
      <c r="DN823" s="10"/>
      <c r="DO823" s="10"/>
      <c r="DP823" s="10"/>
      <c r="DQ823" s="10"/>
      <c r="DR823" s="10"/>
    </row>
    <row r="824" spans="1:122" ht="15.75" customHeight="1">
      <c r="A824" s="300"/>
      <c r="B824" s="300"/>
      <c r="C824" s="300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97"/>
      <c r="DH824" s="197"/>
      <c r="DI824" s="197"/>
      <c r="DJ824" s="10"/>
      <c r="DK824" s="10"/>
      <c r="DL824" s="10"/>
      <c r="DM824" s="10"/>
      <c r="DN824" s="10"/>
      <c r="DO824" s="10"/>
      <c r="DP824" s="10"/>
      <c r="DQ824" s="10"/>
      <c r="DR824" s="10"/>
    </row>
    <row r="825" spans="1:122" ht="15.75" customHeight="1">
      <c r="A825" s="300"/>
      <c r="B825" s="300"/>
      <c r="C825" s="300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97"/>
      <c r="DH825" s="197"/>
      <c r="DI825" s="197"/>
      <c r="DJ825" s="10"/>
      <c r="DK825" s="10"/>
      <c r="DL825" s="10"/>
      <c r="DM825" s="10"/>
      <c r="DN825" s="10"/>
      <c r="DO825" s="10"/>
      <c r="DP825" s="10"/>
      <c r="DQ825" s="10"/>
      <c r="DR825" s="10"/>
    </row>
    <row r="826" spans="1:122" ht="15.75" customHeight="1">
      <c r="A826" s="300"/>
      <c r="B826" s="300"/>
      <c r="C826" s="300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97"/>
      <c r="DH826" s="197"/>
      <c r="DI826" s="197"/>
      <c r="DJ826" s="10"/>
      <c r="DK826" s="10"/>
      <c r="DL826" s="10"/>
      <c r="DM826" s="10"/>
      <c r="DN826" s="10"/>
      <c r="DO826" s="10"/>
      <c r="DP826" s="10"/>
      <c r="DQ826" s="10"/>
      <c r="DR826" s="10"/>
    </row>
    <row r="827" spans="1:122" ht="15.75" customHeight="1">
      <c r="A827" s="300"/>
      <c r="B827" s="300"/>
      <c r="C827" s="300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97"/>
      <c r="DH827" s="197"/>
      <c r="DI827" s="197"/>
      <c r="DJ827" s="10"/>
      <c r="DK827" s="10"/>
      <c r="DL827" s="10"/>
      <c r="DM827" s="10"/>
      <c r="DN827" s="10"/>
      <c r="DO827" s="10"/>
      <c r="DP827" s="10"/>
      <c r="DQ827" s="10"/>
      <c r="DR827" s="10"/>
    </row>
    <row r="828" spans="1:122" ht="15.75" customHeight="1">
      <c r="A828" s="300"/>
      <c r="B828" s="300"/>
      <c r="C828" s="300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97"/>
      <c r="DH828" s="197"/>
      <c r="DI828" s="197"/>
      <c r="DJ828" s="10"/>
      <c r="DK828" s="10"/>
      <c r="DL828" s="10"/>
      <c r="DM828" s="10"/>
      <c r="DN828" s="10"/>
      <c r="DO828" s="10"/>
      <c r="DP828" s="10"/>
      <c r="DQ828" s="10"/>
      <c r="DR828" s="10"/>
    </row>
    <row r="829" spans="1:122" ht="15.75" customHeight="1">
      <c r="A829" s="300"/>
      <c r="B829" s="300"/>
      <c r="C829" s="300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97"/>
      <c r="DH829" s="197"/>
      <c r="DI829" s="197"/>
      <c r="DJ829" s="10"/>
      <c r="DK829" s="10"/>
      <c r="DL829" s="10"/>
      <c r="DM829" s="10"/>
      <c r="DN829" s="10"/>
      <c r="DO829" s="10"/>
      <c r="DP829" s="10"/>
      <c r="DQ829" s="10"/>
      <c r="DR829" s="10"/>
    </row>
    <row r="830" spans="1:122" ht="15.75" customHeight="1">
      <c r="A830" s="300"/>
      <c r="B830" s="300"/>
      <c r="C830" s="300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97"/>
      <c r="DH830" s="197"/>
      <c r="DI830" s="197"/>
      <c r="DJ830" s="10"/>
      <c r="DK830" s="10"/>
      <c r="DL830" s="10"/>
      <c r="DM830" s="10"/>
      <c r="DN830" s="10"/>
      <c r="DO830" s="10"/>
      <c r="DP830" s="10"/>
      <c r="DQ830" s="10"/>
      <c r="DR830" s="10"/>
    </row>
    <row r="831" spans="1:122" ht="15.75" customHeight="1">
      <c r="A831" s="300"/>
      <c r="B831" s="300"/>
      <c r="C831" s="300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97"/>
      <c r="DH831" s="197"/>
      <c r="DI831" s="197"/>
      <c r="DJ831" s="10"/>
      <c r="DK831" s="10"/>
      <c r="DL831" s="10"/>
      <c r="DM831" s="10"/>
      <c r="DN831" s="10"/>
      <c r="DO831" s="10"/>
      <c r="DP831" s="10"/>
      <c r="DQ831" s="10"/>
      <c r="DR831" s="10"/>
    </row>
    <row r="832" spans="1:122" ht="15.75" customHeight="1">
      <c r="A832" s="300"/>
      <c r="B832" s="300"/>
      <c r="C832" s="300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97"/>
      <c r="DH832" s="197"/>
      <c r="DI832" s="197"/>
      <c r="DJ832" s="10"/>
      <c r="DK832" s="10"/>
      <c r="DL832" s="10"/>
      <c r="DM832" s="10"/>
      <c r="DN832" s="10"/>
      <c r="DO832" s="10"/>
      <c r="DP832" s="10"/>
      <c r="DQ832" s="10"/>
      <c r="DR832" s="10"/>
    </row>
    <row r="833" spans="1:122" ht="15.75" customHeight="1">
      <c r="A833" s="300"/>
      <c r="B833" s="300"/>
      <c r="C833" s="300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97"/>
      <c r="DH833" s="197"/>
      <c r="DI833" s="197"/>
      <c r="DJ833" s="10"/>
      <c r="DK833" s="10"/>
      <c r="DL833" s="10"/>
      <c r="DM833" s="10"/>
      <c r="DN833" s="10"/>
      <c r="DO833" s="10"/>
      <c r="DP833" s="10"/>
      <c r="DQ833" s="10"/>
      <c r="DR833" s="10"/>
    </row>
    <row r="834" spans="1:122" ht="15.75" customHeight="1">
      <c r="A834" s="300"/>
      <c r="B834" s="300"/>
      <c r="C834" s="300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97"/>
      <c r="DH834" s="197"/>
      <c r="DI834" s="197"/>
      <c r="DJ834" s="10"/>
      <c r="DK834" s="10"/>
      <c r="DL834" s="10"/>
      <c r="DM834" s="10"/>
      <c r="DN834" s="10"/>
      <c r="DO834" s="10"/>
      <c r="DP834" s="10"/>
      <c r="DQ834" s="10"/>
      <c r="DR834" s="10"/>
    </row>
    <row r="835" spans="1:122" ht="15.75" customHeight="1">
      <c r="A835" s="300"/>
      <c r="B835" s="300"/>
      <c r="C835" s="300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97"/>
      <c r="DH835" s="197"/>
      <c r="DI835" s="197"/>
      <c r="DJ835" s="10"/>
      <c r="DK835" s="10"/>
      <c r="DL835" s="10"/>
      <c r="DM835" s="10"/>
      <c r="DN835" s="10"/>
      <c r="DO835" s="10"/>
      <c r="DP835" s="10"/>
      <c r="DQ835" s="10"/>
      <c r="DR835" s="10"/>
    </row>
    <row r="836" spans="1:122" ht="15.75" customHeight="1">
      <c r="A836" s="300"/>
      <c r="B836" s="300"/>
      <c r="C836" s="300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97"/>
      <c r="DH836" s="197"/>
      <c r="DI836" s="197"/>
      <c r="DJ836" s="10"/>
      <c r="DK836" s="10"/>
      <c r="DL836" s="10"/>
      <c r="DM836" s="10"/>
      <c r="DN836" s="10"/>
      <c r="DO836" s="10"/>
      <c r="DP836" s="10"/>
      <c r="DQ836" s="10"/>
      <c r="DR836" s="10"/>
    </row>
    <row r="837" spans="1:122" ht="15.75" customHeight="1">
      <c r="A837" s="300"/>
      <c r="B837" s="300"/>
      <c r="C837" s="300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97"/>
      <c r="DH837" s="197"/>
      <c r="DI837" s="197"/>
      <c r="DJ837" s="10"/>
      <c r="DK837" s="10"/>
      <c r="DL837" s="10"/>
      <c r="DM837" s="10"/>
      <c r="DN837" s="10"/>
      <c r="DO837" s="10"/>
      <c r="DP837" s="10"/>
      <c r="DQ837" s="10"/>
      <c r="DR837" s="10"/>
    </row>
    <row r="838" spans="1:122" ht="15.75" customHeight="1">
      <c r="A838" s="300"/>
      <c r="B838" s="300"/>
      <c r="C838" s="300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97"/>
      <c r="DH838" s="197"/>
      <c r="DI838" s="197"/>
      <c r="DJ838" s="10"/>
      <c r="DK838" s="10"/>
      <c r="DL838" s="10"/>
      <c r="DM838" s="10"/>
      <c r="DN838" s="10"/>
      <c r="DO838" s="10"/>
      <c r="DP838" s="10"/>
      <c r="DQ838" s="10"/>
      <c r="DR838" s="10"/>
    </row>
    <row r="839" spans="1:122" ht="15.75" customHeight="1">
      <c r="A839" s="300"/>
      <c r="B839" s="300"/>
      <c r="C839" s="300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97"/>
      <c r="DH839" s="197"/>
      <c r="DI839" s="197"/>
      <c r="DJ839" s="10"/>
      <c r="DK839" s="10"/>
      <c r="DL839" s="10"/>
      <c r="DM839" s="10"/>
      <c r="DN839" s="10"/>
      <c r="DO839" s="10"/>
      <c r="DP839" s="10"/>
      <c r="DQ839" s="10"/>
      <c r="DR839" s="10"/>
    </row>
    <row r="840" spans="1:122" ht="15.75" customHeight="1">
      <c r="A840" s="300"/>
      <c r="B840" s="300"/>
      <c r="C840" s="300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97"/>
      <c r="DH840" s="197"/>
      <c r="DI840" s="197"/>
      <c r="DJ840" s="10"/>
      <c r="DK840" s="10"/>
      <c r="DL840" s="10"/>
      <c r="DM840" s="10"/>
      <c r="DN840" s="10"/>
      <c r="DO840" s="10"/>
      <c r="DP840" s="10"/>
      <c r="DQ840" s="10"/>
      <c r="DR840" s="10"/>
    </row>
    <row r="841" spans="1:122" ht="15.75" customHeight="1">
      <c r="A841" s="300"/>
      <c r="B841" s="300"/>
      <c r="C841" s="300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97"/>
      <c r="DH841" s="197"/>
      <c r="DI841" s="197"/>
      <c r="DJ841" s="10"/>
      <c r="DK841" s="10"/>
      <c r="DL841" s="10"/>
      <c r="DM841" s="10"/>
      <c r="DN841" s="10"/>
      <c r="DO841" s="10"/>
      <c r="DP841" s="10"/>
      <c r="DQ841" s="10"/>
      <c r="DR841" s="10"/>
    </row>
    <row r="842" spans="1:122" ht="15.75" customHeight="1">
      <c r="A842" s="300"/>
      <c r="B842" s="300"/>
      <c r="C842" s="300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97"/>
      <c r="DH842" s="197"/>
      <c r="DI842" s="197"/>
      <c r="DJ842" s="10"/>
      <c r="DK842" s="10"/>
      <c r="DL842" s="10"/>
      <c r="DM842" s="10"/>
      <c r="DN842" s="10"/>
      <c r="DO842" s="10"/>
      <c r="DP842" s="10"/>
      <c r="DQ842" s="10"/>
      <c r="DR842" s="10"/>
    </row>
    <row r="843" spans="1:122" ht="15.75" customHeight="1">
      <c r="A843" s="300"/>
      <c r="B843" s="300"/>
      <c r="C843" s="300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97"/>
      <c r="DH843" s="197"/>
      <c r="DI843" s="197"/>
      <c r="DJ843" s="10"/>
      <c r="DK843" s="10"/>
      <c r="DL843" s="10"/>
      <c r="DM843" s="10"/>
      <c r="DN843" s="10"/>
      <c r="DO843" s="10"/>
      <c r="DP843" s="10"/>
      <c r="DQ843" s="10"/>
      <c r="DR843" s="10"/>
    </row>
    <row r="844" spans="1:122" ht="15.75" customHeight="1">
      <c r="A844" s="300"/>
      <c r="B844" s="300"/>
      <c r="C844" s="300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97"/>
      <c r="DH844" s="197"/>
      <c r="DI844" s="197"/>
      <c r="DJ844" s="10"/>
      <c r="DK844" s="10"/>
      <c r="DL844" s="10"/>
      <c r="DM844" s="10"/>
      <c r="DN844" s="10"/>
      <c r="DO844" s="10"/>
      <c r="DP844" s="10"/>
      <c r="DQ844" s="10"/>
      <c r="DR844" s="10"/>
    </row>
    <row r="845" spans="1:122" ht="15.75" customHeight="1">
      <c r="A845" s="300"/>
      <c r="B845" s="300"/>
      <c r="C845" s="300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97"/>
      <c r="DH845" s="197"/>
      <c r="DI845" s="197"/>
      <c r="DJ845" s="10"/>
      <c r="DK845" s="10"/>
      <c r="DL845" s="10"/>
      <c r="DM845" s="10"/>
      <c r="DN845" s="10"/>
      <c r="DO845" s="10"/>
      <c r="DP845" s="10"/>
      <c r="DQ845" s="10"/>
      <c r="DR845" s="10"/>
    </row>
    <row r="846" spans="1:122" ht="15.75" customHeight="1">
      <c r="A846" s="300"/>
      <c r="B846" s="300"/>
      <c r="C846" s="300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97"/>
      <c r="DH846" s="197"/>
      <c r="DI846" s="197"/>
      <c r="DJ846" s="10"/>
      <c r="DK846" s="10"/>
      <c r="DL846" s="10"/>
      <c r="DM846" s="10"/>
      <c r="DN846" s="10"/>
      <c r="DO846" s="10"/>
      <c r="DP846" s="10"/>
      <c r="DQ846" s="10"/>
      <c r="DR846" s="10"/>
    </row>
    <row r="847" spans="1:122" ht="15.75" customHeight="1">
      <c r="A847" s="300"/>
      <c r="B847" s="300"/>
      <c r="C847" s="300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97"/>
      <c r="DH847" s="197"/>
      <c r="DI847" s="197"/>
      <c r="DJ847" s="10"/>
      <c r="DK847" s="10"/>
      <c r="DL847" s="10"/>
      <c r="DM847" s="10"/>
      <c r="DN847" s="10"/>
      <c r="DO847" s="10"/>
      <c r="DP847" s="10"/>
      <c r="DQ847" s="10"/>
      <c r="DR847" s="10"/>
    </row>
    <row r="848" spans="1:122" ht="15.75" customHeight="1">
      <c r="A848" s="300"/>
      <c r="B848" s="300"/>
      <c r="C848" s="300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97"/>
      <c r="DH848" s="197"/>
      <c r="DI848" s="197"/>
      <c r="DJ848" s="10"/>
      <c r="DK848" s="10"/>
      <c r="DL848" s="10"/>
      <c r="DM848" s="10"/>
      <c r="DN848" s="10"/>
      <c r="DO848" s="10"/>
      <c r="DP848" s="10"/>
      <c r="DQ848" s="10"/>
      <c r="DR848" s="10"/>
    </row>
    <row r="849" spans="1:122" ht="15.75" customHeight="1">
      <c r="A849" s="300"/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97"/>
      <c r="DH849" s="197"/>
      <c r="DI849" s="197"/>
      <c r="DJ849" s="10"/>
      <c r="DK849" s="10"/>
      <c r="DL849" s="10"/>
      <c r="DM849" s="10"/>
      <c r="DN849" s="10"/>
      <c r="DO849" s="10"/>
      <c r="DP849" s="10"/>
      <c r="DQ849" s="10"/>
      <c r="DR849" s="10"/>
    </row>
    <row r="850" spans="1:122" ht="15.75" customHeight="1">
      <c r="A850" s="300"/>
      <c r="B850" s="300"/>
      <c r="C850" s="300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97"/>
      <c r="DH850" s="197"/>
      <c r="DI850" s="197"/>
      <c r="DJ850" s="10"/>
      <c r="DK850" s="10"/>
      <c r="DL850" s="10"/>
      <c r="DM850" s="10"/>
      <c r="DN850" s="10"/>
      <c r="DO850" s="10"/>
      <c r="DP850" s="10"/>
      <c r="DQ850" s="10"/>
      <c r="DR850" s="10"/>
    </row>
    <row r="851" spans="1:122" ht="15.75" customHeight="1">
      <c r="A851" s="300"/>
      <c r="B851" s="300"/>
      <c r="C851" s="300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97"/>
      <c r="DH851" s="197"/>
      <c r="DI851" s="197"/>
      <c r="DJ851" s="10"/>
      <c r="DK851" s="10"/>
      <c r="DL851" s="10"/>
      <c r="DM851" s="10"/>
      <c r="DN851" s="10"/>
      <c r="DO851" s="10"/>
      <c r="DP851" s="10"/>
      <c r="DQ851" s="10"/>
      <c r="DR851" s="10"/>
    </row>
    <row r="852" spans="1:122" ht="15.75" customHeight="1">
      <c r="A852" s="300"/>
      <c r="B852" s="300"/>
      <c r="C852" s="300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97"/>
      <c r="DH852" s="197"/>
      <c r="DI852" s="197"/>
      <c r="DJ852" s="10"/>
      <c r="DK852" s="10"/>
      <c r="DL852" s="10"/>
      <c r="DM852" s="10"/>
      <c r="DN852" s="10"/>
      <c r="DO852" s="10"/>
      <c r="DP852" s="10"/>
      <c r="DQ852" s="10"/>
      <c r="DR852" s="10"/>
    </row>
    <row r="853" spans="1:122" ht="15.75" customHeight="1">
      <c r="A853" s="300"/>
      <c r="B853" s="300"/>
      <c r="C853" s="300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97"/>
      <c r="DH853" s="197"/>
      <c r="DI853" s="197"/>
      <c r="DJ853" s="10"/>
      <c r="DK853" s="10"/>
      <c r="DL853" s="10"/>
      <c r="DM853" s="10"/>
      <c r="DN853" s="10"/>
      <c r="DO853" s="10"/>
      <c r="DP853" s="10"/>
      <c r="DQ853" s="10"/>
      <c r="DR853" s="10"/>
    </row>
    <row r="854" spans="1:122" ht="15.75" customHeight="1">
      <c r="A854" s="300"/>
      <c r="B854" s="300"/>
      <c r="C854" s="300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97"/>
      <c r="DH854" s="197"/>
      <c r="DI854" s="197"/>
      <c r="DJ854" s="10"/>
      <c r="DK854" s="10"/>
      <c r="DL854" s="10"/>
      <c r="DM854" s="10"/>
      <c r="DN854" s="10"/>
      <c r="DO854" s="10"/>
      <c r="DP854" s="10"/>
      <c r="DQ854" s="10"/>
      <c r="DR854" s="10"/>
    </row>
    <row r="855" spans="1:122" ht="15.75" customHeight="1">
      <c r="A855" s="300"/>
      <c r="B855" s="300"/>
      <c r="C855" s="300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97"/>
      <c r="DH855" s="197"/>
      <c r="DI855" s="197"/>
      <c r="DJ855" s="10"/>
      <c r="DK855" s="10"/>
      <c r="DL855" s="10"/>
      <c r="DM855" s="10"/>
      <c r="DN855" s="10"/>
      <c r="DO855" s="10"/>
      <c r="DP855" s="10"/>
      <c r="DQ855" s="10"/>
      <c r="DR855" s="10"/>
    </row>
    <row r="856" spans="1:122" ht="15.75" customHeight="1">
      <c r="A856" s="300"/>
      <c r="B856" s="300"/>
      <c r="C856" s="300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97"/>
      <c r="DH856" s="197"/>
      <c r="DI856" s="197"/>
      <c r="DJ856" s="10"/>
      <c r="DK856" s="10"/>
      <c r="DL856" s="10"/>
      <c r="DM856" s="10"/>
      <c r="DN856" s="10"/>
      <c r="DO856" s="10"/>
      <c r="DP856" s="10"/>
      <c r="DQ856" s="10"/>
      <c r="DR856" s="10"/>
    </row>
    <row r="857" spans="1:122" ht="15.75" customHeight="1">
      <c r="A857" s="300"/>
      <c r="B857" s="300"/>
      <c r="C857" s="300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97"/>
      <c r="DH857" s="197"/>
      <c r="DI857" s="197"/>
      <c r="DJ857" s="10"/>
      <c r="DK857" s="10"/>
      <c r="DL857" s="10"/>
      <c r="DM857" s="10"/>
      <c r="DN857" s="10"/>
      <c r="DO857" s="10"/>
      <c r="DP857" s="10"/>
      <c r="DQ857" s="10"/>
      <c r="DR857" s="10"/>
    </row>
    <row r="858" spans="1:122" ht="15.75" customHeight="1">
      <c r="A858" s="300"/>
      <c r="B858" s="300"/>
      <c r="C858" s="300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97"/>
      <c r="DH858" s="197"/>
      <c r="DI858" s="197"/>
      <c r="DJ858" s="10"/>
      <c r="DK858" s="10"/>
      <c r="DL858" s="10"/>
      <c r="DM858" s="10"/>
      <c r="DN858" s="10"/>
      <c r="DO858" s="10"/>
      <c r="DP858" s="10"/>
      <c r="DQ858" s="10"/>
      <c r="DR858" s="10"/>
    </row>
    <row r="859" spans="1:122" ht="15.75" customHeight="1">
      <c r="A859" s="300"/>
      <c r="B859" s="300"/>
      <c r="C859" s="300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97"/>
      <c r="DH859" s="197"/>
      <c r="DI859" s="197"/>
      <c r="DJ859" s="10"/>
      <c r="DK859" s="10"/>
      <c r="DL859" s="10"/>
      <c r="DM859" s="10"/>
      <c r="DN859" s="10"/>
      <c r="DO859" s="10"/>
      <c r="DP859" s="10"/>
      <c r="DQ859" s="10"/>
      <c r="DR859" s="10"/>
    </row>
    <row r="860" spans="1:122" ht="15.75" customHeight="1">
      <c r="A860" s="300"/>
      <c r="B860" s="300"/>
      <c r="C860" s="300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97"/>
      <c r="DH860" s="197"/>
      <c r="DI860" s="197"/>
      <c r="DJ860" s="10"/>
      <c r="DK860" s="10"/>
      <c r="DL860" s="10"/>
      <c r="DM860" s="10"/>
      <c r="DN860" s="10"/>
      <c r="DO860" s="10"/>
      <c r="DP860" s="10"/>
      <c r="DQ860" s="10"/>
      <c r="DR860" s="10"/>
    </row>
    <row r="861" spans="1:122" ht="15.75" customHeight="1">
      <c r="A861" s="300"/>
      <c r="B861" s="300"/>
      <c r="C861" s="300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97"/>
      <c r="DH861" s="197"/>
      <c r="DI861" s="197"/>
      <c r="DJ861" s="10"/>
      <c r="DK861" s="10"/>
      <c r="DL861" s="10"/>
      <c r="DM861" s="10"/>
      <c r="DN861" s="10"/>
      <c r="DO861" s="10"/>
      <c r="DP861" s="10"/>
      <c r="DQ861" s="10"/>
      <c r="DR861" s="10"/>
    </row>
    <row r="862" spans="1:122" ht="15.75" customHeight="1">
      <c r="A862" s="300"/>
      <c r="B862" s="300"/>
      <c r="C862" s="300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97"/>
      <c r="DH862" s="197"/>
      <c r="DI862" s="197"/>
      <c r="DJ862" s="10"/>
      <c r="DK862" s="10"/>
      <c r="DL862" s="10"/>
      <c r="DM862" s="10"/>
      <c r="DN862" s="10"/>
      <c r="DO862" s="10"/>
      <c r="DP862" s="10"/>
      <c r="DQ862" s="10"/>
      <c r="DR862" s="10"/>
    </row>
    <row r="863" spans="1:122" ht="15.75" customHeight="1">
      <c r="A863" s="300"/>
      <c r="B863" s="300"/>
      <c r="C863" s="300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97"/>
      <c r="DH863" s="197"/>
      <c r="DI863" s="197"/>
      <c r="DJ863" s="10"/>
      <c r="DK863" s="10"/>
      <c r="DL863" s="10"/>
      <c r="DM863" s="10"/>
      <c r="DN863" s="10"/>
      <c r="DO863" s="10"/>
      <c r="DP863" s="10"/>
      <c r="DQ863" s="10"/>
      <c r="DR863" s="10"/>
    </row>
    <row r="864" spans="1:122" ht="15.75" customHeight="1">
      <c r="A864" s="300"/>
      <c r="B864" s="300"/>
      <c r="C864" s="300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97"/>
      <c r="DH864" s="197"/>
      <c r="DI864" s="197"/>
      <c r="DJ864" s="10"/>
      <c r="DK864" s="10"/>
      <c r="DL864" s="10"/>
      <c r="DM864" s="10"/>
      <c r="DN864" s="10"/>
      <c r="DO864" s="10"/>
      <c r="DP864" s="10"/>
      <c r="DQ864" s="10"/>
      <c r="DR864" s="10"/>
    </row>
    <row r="865" spans="1:122" ht="15.75" customHeight="1">
      <c r="A865" s="300"/>
      <c r="B865" s="300"/>
      <c r="C865" s="300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97"/>
      <c r="DH865" s="197"/>
      <c r="DI865" s="197"/>
      <c r="DJ865" s="10"/>
      <c r="DK865" s="10"/>
      <c r="DL865" s="10"/>
      <c r="DM865" s="10"/>
      <c r="DN865" s="10"/>
      <c r="DO865" s="10"/>
      <c r="DP865" s="10"/>
      <c r="DQ865" s="10"/>
      <c r="DR865" s="10"/>
    </row>
    <row r="866" spans="1:122" ht="15.75" customHeight="1">
      <c r="A866" s="300"/>
      <c r="B866" s="300"/>
      <c r="C866" s="300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97"/>
      <c r="DH866" s="197"/>
      <c r="DI866" s="197"/>
      <c r="DJ866" s="10"/>
      <c r="DK866" s="10"/>
      <c r="DL866" s="10"/>
      <c r="DM866" s="10"/>
      <c r="DN866" s="10"/>
      <c r="DO866" s="10"/>
      <c r="DP866" s="10"/>
      <c r="DQ866" s="10"/>
      <c r="DR866" s="10"/>
    </row>
    <row r="867" spans="1:122" ht="15.75" customHeight="1">
      <c r="A867" s="300"/>
      <c r="B867" s="300"/>
      <c r="C867" s="300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97"/>
      <c r="DH867" s="197"/>
      <c r="DI867" s="197"/>
      <c r="DJ867" s="10"/>
      <c r="DK867" s="10"/>
      <c r="DL867" s="10"/>
      <c r="DM867" s="10"/>
      <c r="DN867" s="10"/>
      <c r="DO867" s="10"/>
      <c r="DP867" s="10"/>
      <c r="DQ867" s="10"/>
      <c r="DR867" s="10"/>
    </row>
    <row r="868" spans="1:122" ht="15.75" customHeight="1">
      <c r="A868" s="300"/>
      <c r="B868" s="300"/>
      <c r="C868" s="300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97"/>
      <c r="DH868" s="197"/>
      <c r="DI868" s="197"/>
      <c r="DJ868" s="10"/>
      <c r="DK868" s="10"/>
      <c r="DL868" s="10"/>
      <c r="DM868" s="10"/>
      <c r="DN868" s="10"/>
      <c r="DO868" s="10"/>
      <c r="DP868" s="10"/>
      <c r="DQ868" s="10"/>
      <c r="DR868" s="10"/>
    </row>
    <row r="869" spans="1:122" ht="15.75" customHeight="1">
      <c r="A869" s="300"/>
      <c r="B869" s="300"/>
      <c r="C869" s="300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97"/>
      <c r="DH869" s="197"/>
      <c r="DI869" s="197"/>
      <c r="DJ869" s="10"/>
      <c r="DK869" s="10"/>
      <c r="DL869" s="10"/>
      <c r="DM869" s="10"/>
      <c r="DN869" s="10"/>
      <c r="DO869" s="10"/>
      <c r="DP869" s="10"/>
      <c r="DQ869" s="10"/>
      <c r="DR869" s="10"/>
    </row>
    <row r="870" spans="1:122" ht="15.75" customHeight="1">
      <c r="A870" s="300"/>
      <c r="B870" s="300"/>
      <c r="C870" s="300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97"/>
      <c r="DH870" s="197"/>
      <c r="DI870" s="197"/>
      <c r="DJ870" s="10"/>
      <c r="DK870" s="10"/>
      <c r="DL870" s="10"/>
      <c r="DM870" s="10"/>
      <c r="DN870" s="10"/>
      <c r="DO870" s="10"/>
      <c r="DP870" s="10"/>
      <c r="DQ870" s="10"/>
      <c r="DR870" s="10"/>
    </row>
    <row r="871" spans="1:122" ht="15.75" customHeight="1">
      <c r="A871" s="300"/>
      <c r="B871" s="300"/>
      <c r="C871" s="300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97"/>
      <c r="DH871" s="197"/>
      <c r="DI871" s="197"/>
      <c r="DJ871" s="10"/>
      <c r="DK871" s="10"/>
      <c r="DL871" s="10"/>
      <c r="DM871" s="10"/>
      <c r="DN871" s="10"/>
      <c r="DO871" s="10"/>
      <c r="DP871" s="10"/>
      <c r="DQ871" s="10"/>
      <c r="DR871" s="10"/>
    </row>
    <row r="872" spans="1:122" ht="15.75" customHeight="1">
      <c r="A872" s="300"/>
      <c r="B872" s="300"/>
      <c r="C872" s="300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97"/>
      <c r="DH872" s="197"/>
      <c r="DI872" s="197"/>
      <c r="DJ872" s="10"/>
      <c r="DK872" s="10"/>
      <c r="DL872" s="10"/>
      <c r="DM872" s="10"/>
      <c r="DN872" s="10"/>
      <c r="DO872" s="10"/>
      <c r="DP872" s="10"/>
      <c r="DQ872" s="10"/>
      <c r="DR872" s="10"/>
    </row>
    <row r="873" spans="1:122" ht="15.75" customHeight="1">
      <c r="A873" s="300"/>
      <c r="B873" s="300"/>
      <c r="C873" s="300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97"/>
      <c r="DH873" s="197"/>
      <c r="DI873" s="197"/>
      <c r="DJ873" s="10"/>
      <c r="DK873" s="10"/>
      <c r="DL873" s="10"/>
      <c r="DM873" s="10"/>
      <c r="DN873" s="10"/>
      <c r="DO873" s="10"/>
      <c r="DP873" s="10"/>
      <c r="DQ873" s="10"/>
      <c r="DR873" s="10"/>
    </row>
    <row r="874" spans="1:122" ht="15.75" customHeight="1">
      <c r="A874" s="300"/>
      <c r="B874" s="300"/>
      <c r="C874" s="300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97"/>
      <c r="DH874" s="197"/>
      <c r="DI874" s="197"/>
      <c r="DJ874" s="10"/>
      <c r="DK874" s="10"/>
      <c r="DL874" s="10"/>
      <c r="DM874" s="10"/>
      <c r="DN874" s="10"/>
      <c r="DO874" s="10"/>
      <c r="DP874" s="10"/>
      <c r="DQ874" s="10"/>
      <c r="DR874" s="10"/>
    </row>
    <row r="875" spans="1:122" ht="15.75" customHeight="1">
      <c r="A875" s="300"/>
      <c r="B875" s="300"/>
      <c r="C875" s="300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97"/>
      <c r="DH875" s="197"/>
      <c r="DI875" s="197"/>
      <c r="DJ875" s="10"/>
      <c r="DK875" s="10"/>
      <c r="DL875" s="10"/>
      <c r="DM875" s="10"/>
      <c r="DN875" s="10"/>
      <c r="DO875" s="10"/>
      <c r="DP875" s="10"/>
      <c r="DQ875" s="10"/>
      <c r="DR875" s="10"/>
    </row>
    <row r="876" spans="1:122" ht="15.75" customHeight="1">
      <c r="A876" s="300"/>
      <c r="B876" s="300"/>
      <c r="C876" s="300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97"/>
      <c r="DH876" s="197"/>
      <c r="DI876" s="197"/>
      <c r="DJ876" s="10"/>
      <c r="DK876" s="10"/>
      <c r="DL876" s="10"/>
      <c r="DM876" s="10"/>
      <c r="DN876" s="10"/>
      <c r="DO876" s="10"/>
      <c r="DP876" s="10"/>
      <c r="DQ876" s="10"/>
      <c r="DR876" s="10"/>
    </row>
    <row r="877" spans="1:122" ht="15.75" customHeight="1">
      <c r="A877" s="300"/>
      <c r="B877" s="300"/>
      <c r="C877" s="300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97"/>
      <c r="DH877" s="197"/>
      <c r="DI877" s="197"/>
      <c r="DJ877" s="10"/>
      <c r="DK877" s="10"/>
      <c r="DL877" s="10"/>
      <c r="DM877" s="10"/>
      <c r="DN877" s="10"/>
      <c r="DO877" s="10"/>
      <c r="DP877" s="10"/>
      <c r="DQ877" s="10"/>
      <c r="DR877" s="10"/>
    </row>
    <row r="878" spans="1:122" ht="15.75" customHeight="1">
      <c r="A878" s="300"/>
      <c r="B878" s="300"/>
      <c r="C878" s="300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97"/>
      <c r="DH878" s="197"/>
      <c r="DI878" s="197"/>
      <c r="DJ878" s="10"/>
      <c r="DK878" s="10"/>
      <c r="DL878" s="10"/>
      <c r="DM878" s="10"/>
      <c r="DN878" s="10"/>
      <c r="DO878" s="10"/>
      <c r="DP878" s="10"/>
      <c r="DQ878" s="10"/>
      <c r="DR878" s="10"/>
    </row>
    <row r="879" spans="1:122" ht="15.75" customHeight="1">
      <c r="A879" s="300"/>
      <c r="B879" s="300"/>
      <c r="C879" s="300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97"/>
      <c r="DH879" s="197"/>
      <c r="DI879" s="197"/>
      <c r="DJ879" s="10"/>
      <c r="DK879" s="10"/>
      <c r="DL879" s="10"/>
      <c r="DM879" s="10"/>
      <c r="DN879" s="10"/>
      <c r="DO879" s="10"/>
      <c r="DP879" s="10"/>
      <c r="DQ879" s="10"/>
      <c r="DR879" s="10"/>
    </row>
    <row r="880" spans="1:122" ht="15.75" customHeight="1">
      <c r="A880" s="300"/>
      <c r="B880" s="300"/>
      <c r="C880" s="300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97"/>
      <c r="DH880" s="197"/>
      <c r="DI880" s="197"/>
      <c r="DJ880" s="10"/>
      <c r="DK880" s="10"/>
      <c r="DL880" s="10"/>
      <c r="DM880" s="10"/>
      <c r="DN880" s="10"/>
      <c r="DO880" s="10"/>
      <c r="DP880" s="10"/>
      <c r="DQ880" s="10"/>
      <c r="DR880" s="10"/>
    </row>
    <row r="881" spans="1:122" ht="15.75" customHeight="1">
      <c r="A881" s="300"/>
      <c r="B881" s="300"/>
      <c r="C881" s="300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97"/>
      <c r="DH881" s="197"/>
      <c r="DI881" s="197"/>
      <c r="DJ881" s="10"/>
      <c r="DK881" s="10"/>
      <c r="DL881" s="10"/>
      <c r="DM881" s="10"/>
      <c r="DN881" s="10"/>
      <c r="DO881" s="10"/>
      <c r="DP881" s="10"/>
      <c r="DQ881" s="10"/>
      <c r="DR881" s="10"/>
    </row>
    <row r="882" spans="1:122" ht="15.75" customHeight="1">
      <c r="A882" s="300"/>
      <c r="B882" s="300"/>
      <c r="C882" s="300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97"/>
      <c r="DH882" s="197"/>
      <c r="DI882" s="197"/>
      <c r="DJ882" s="10"/>
      <c r="DK882" s="10"/>
      <c r="DL882" s="10"/>
      <c r="DM882" s="10"/>
      <c r="DN882" s="10"/>
      <c r="DO882" s="10"/>
      <c r="DP882" s="10"/>
      <c r="DQ882" s="10"/>
      <c r="DR882" s="10"/>
    </row>
    <row r="883" spans="1:122" ht="15.75" customHeight="1">
      <c r="A883" s="300"/>
      <c r="B883" s="300"/>
      <c r="C883" s="300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97"/>
      <c r="DH883" s="197"/>
      <c r="DI883" s="197"/>
      <c r="DJ883" s="10"/>
      <c r="DK883" s="10"/>
      <c r="DL883" s="10"/>
      <c r="DM883" s="10"/>
      <c r="DN883" s="10"/>
      <c r="DO883" s="10"/>
      <c r="DP883" s="10"/>
      <c r="DQ883" s="10"/>
      <c r="DR883" s="10"/>
    </row>
    <row r="884" spans="1:122" ht="15.75" customHeight="1">
      <c r="A884" s="300"/>
      <c r="B884" s="300"/>
      <c r="C884" s="300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97"/>
      <c r="DH884" s="197"/>
      <c r="DI884" s="197"/>
      <c r="DJ884" s="10"/>
      <c r="DK884" s="10"/>
      <c r="DL884" s="10"/>
      <c r="DM884" s="10"/>
      <c r="DN884" s="10"/>
      <c r="DO884" s="10"/>
      <c r="DP884" s="10"/>
      <c r="DQ884" s="10"/>
      <c r="DR884" s="10"/>
    </row>
    <row r="885" spans="1:122" ht="15.75" customHeight="1">
      <c r="A885" s="300"/>
      <c r="B885" s="300"/>
      <c r="C885" s="300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97"/>
      <c r="DH885" s="197"/>
      <c r="DI885" s="197"/>
      <c r="DJ885" s="10"/>
      <c r="DK885" s="10"/>
      <c r="DL885" s="10"/>
      <c r="DM885" s="10"/>
      <c r="DN885" s="10"/>
      <c r="DO885" s="10"/>
      <c r="DP885" s="10"/>
      <c r="DQ885" s="10"/>
      <c r="DR885" s="10"/>
    </row>
    <row r="886" spans="1:122" ht="15.75" customHeight="1">
      <c r="A886" s="300"/>
      <c r="B886" s="300"/>
      <c r="C886" s="300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97"/>
      <c r="DH886" s="197"/>
      <c r="DI886" s="197"/>
      <c r="DJ886" s="10"/>
      <c r="DK886" s="10"/>
      <c r="DL886" s="10"/>
      <c r="DM886" s="10"/>
      <c r="DN886" s="10"/>
      <c r="DO886" s="10"/>
      <c r="DP886" s="10"/>
      <c r="DQ886" s="10"/>
      <c r="DR886" s="10"/>
    </row>
    <row r="887" spans="1:122" ht="15.75" customHeight="1">
      <c r="A887" s="300"/>
      <c r="B887" s="300"/>
      <c r="C887" s="300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97"/>
      <c r="DH887" s="197"/>
      <c r="DI887" s="197"/>
      <c r="DJ887" s="10"/>
      <c r="DK887" s="10"/>
      <c r="DL887" s="10"/>
      <c r="DM887" s="10"/>
      <c r="DN887" s="10"/>
      <c r="DO887" s="10"/>
      <c r="DP887" s="10"/>
      <c r="DQ887" s="10"/>
      <c r="DR887" s="10"/>
    </row>
    <row r="888" spans="1:122" ht="15.75" customHeight="1">
      <c r="A888" s="300"/>
      <c r="B888" s="300"/>
      <c r="C888" s="300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97"/>
      <c r="DH888" s="197"/>
      <c r="DI888" s="197"/>
      <c r="DJ888" s="10"/>
      <c r="DK888" s="10"/>
      <c r="DL888" s="10"/>
      <c r="DM888" s="10"/>
      <c r="DN888" s="10"/>
      <c r="DO888" s="10"/>
      <c r="DP888" s="10"/>
      <c r="DQ888" s="10"/>
      <c r="DR888" s="10"/>
    </row>
    <row r="889" spans="1:122" ht="15.75" customHeight="1">
      <c r="A889" s="300"/>
      <c r="B889" s="300"/>
      <c r="C889" s="300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97"/>
      <c r="DH889" s="197"/>
      <c r="DI889" s="197"/>
      <c r="DJ889" s="10"/>
      <c r="DK889" s="10"/>
      <c r="DL889" s="10"/>
      <c r="DM889" s="10"/>
      <c r="DN889" s="10"/>
      <c r="DO889" s="10"/>
      <c r="DP889" s="10"/>
      <c r="DQ889" s="10"/>
      <c r="DR889" s="10"/>
    </row>
    <row r="890" spans="1:122" ht="15.75" customHeight="1">
      <c r="A890" s="300"/>
      <c r="B890" s="300"/>
      <c r="C890" s="300"/>
      <c r="D890" s="30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97"/>
      <c r="DH890" s="197"/>
      <c r="DI890" s="197"/>
      <c r="DJ890" s="10"/>
      <c r="DK890" s="10"/>
      <c r="DL890" s="10"/>
      <c r="DM890" s="10"/>
      <c r="DN890" s="10"/>
      <c r="DO890" s="10"/>
      <c r="DP890" s="10"/>
      <c r="DQ890" s="10"/>
      <c r="DR890" s="10"/>
    </row>
    <row r="891" spans="1:122" ht="15.75" customHeight="1">
      <c r="A891" s="300"/>
      <c r="B891" s="300"/>
      <c r="C891" s="300"/>
      <c r="D891" s="30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97"/>
      <c r="DH891" s="197"/>
      <c r="DI891" s="197"/>
      <c r="DJ891" s="10"/>
      <c r="DK891" s="10"/>
      <c r="DL891" s="10"/>
      <c r="DM891" s="10"/>
      <c r="DN891" s="10"/>
      <c r="DO891" s="10"/>
      <c r="DP891" s="10"/>
      <c r="DQ891" s="10"/>
      <c r="DR891" s="10"/>
    </row>
    <row r="892" spans="1:122" ht="15.75" customHeight="1">
      <c r="A892" s="300"/>
      <c r="B892" s="300"/>
      <c r="C892" s="300"/>
      <c r="D892" s="30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97"/>
      <c r="DH892" s="197"/>
      <c r="DI892" s="197"/>
      <c r="DJ892" s="10"/>
      <c r="DK892" s="10"/>
      <c r="DL892" s="10"/>
      <c r="DM892" s="10"/>
      <c r="DN892" s="10"/>
      <c r="DO892" s="10"/>
      <c r="DP892" s="10"/>
      <c r="DQ892" s="10"/>
      <c r="DR892" s="10"/>
    </row>
    <row r="893" spans="1:122" ht="15.75" customHeight="1">
      <c r="A893" s="300"/>
      <c r="B893" s="300"/>
      <c r="C893" s="300"/>
      <c r="D893" s="30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97"/>
      <c r="DH893" s="197"/>
      <c r="DI893" s="197"/>
      <c r="DJ893" s="10"/>
      <c r="DK893" s="10"/>
      <c r="DL893" s="10"/>
      <c r="DM893" s="10"/>
      <c r="DN893" s="10"/>
      <c r="DO893" s="10"/>
      <c r="DP893" s="10"/>
      <c r="DQ893" s="10"/>
      <c r="DR893" s="10"/>
    </row>
    <row r="894" spans="1:122" ht="15.75" customHeight="1">
      <c r="A894" s="300"/>
      <c r="B894" s="300"/>
      <c r="C894" s="300"/>
      <c r="D894" s="30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97"/>
      <c r="DH894" s="197"/>
      <c r="DI894" s="197"/>
      <c r="DJ894" s="10"/>
      <c r="DK894" s="10"/>
      <c r="DL894" s="10"/>
      <c r="DM894" s="10"/>
      <c r="DN894" s="10"/>
      <c r="DO894" s="10"/>
      <c r="DP894" s="10"/>
      <c r="DQ894" s="10"/>
      <c r="DR894" s="10"/>
    </row>
    <row r="895" spans="1:122" ht="15.75" customHeight="1">
      <c r="A895" s="300"/>
      <c r="B895" s="300"/>
      <c r="C895" s="300"/>
      <c r="D895" s="30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97"/>
      <c r="DH895" s="197"/>
      <c r="DI895" s="197"/>
      <c r="DJ895" s="10"/>
      <c r="DK895" s="10"/>
      <c r="DL895" s="10"/>
      <c r="DM895" s="10"/>
      <c r="DN895" s="10"/>
      <c r="DO895" s="10"/>
      <c r="DP895" s="10"/>
      <c r="DQ895" s="10"/>
      <c r="DR895" s="10"/>
    </row>
    <row r="896" spans="1:122" ht="15.75" customHeight="1">
      <c r="A896" s="300"/>
      <c r="B896" s="300"/>
      <c r="C896" s="300"/>
      <c r="D896" s="30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97"/>
      <c r="DH896" s="197"/>
      <c r="DI896" s="197"/>
      <c r="DJ896" s="10"/>
      <c r="DK896" s="10"/>
      <c r="DL896" s="10"/>
      <c r="DM896" s="10"/>
      <c r="DN896" s="10"/>
      <c r="DO896" s="10"/>
      <c r="DP896" s="10"/>
      <c r="DQ896" s="10"/>
      <c r="DR896" s="10"/>
    </row>
    <row r="897" spans="1:122" ht="15.75" customHeight="1">
      <c r="A897" s="300"/>
      <c r="B897" s="300"/>
      <c r="C897" s="300"/>
      <c r="D897" s="30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97"/>
      <c r="DH897" s="197"/>
      <c r="DI897" s="197"/>
      <c r="DJ897" s="10"/>
      <c r="DK897" s="10"/>
      <c r="DL897" s="10"/>
      <c r="DM897" s="10"/>
      <c r="DN897" s="10"/>
      <c r="DO897" s="10"/>
      <c r="DP897" s="10"/>
      <c r="DQ897" s="10"/>
      <c r="DR897" s="10"/>
    </row>
    <row r="898" spans="1:122" ht="15.75" customHeight="1">
      <c r="A898" s="300"/>
      <c r="B898" s="300"/>
      <c r="C898" s="300"/>
      <c r="D898" s="30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97"/>
      <c r="DH898" s="197"/>
      <c r="DI898" s="197"/>
      <c r="DJ898" s="10"/>
      <c r="DK898" s="10"/>
      <c r="DL898" s="10"/>
      <c r="DM898" s="10"/>
      <c r="DN898" s="10"/>
      <c r="DO898" s="10"/>
      <c r="DP898" s="10"/>
      <c r="DQ898" s="10"/>
      <c r="DR898" s="10"/>
    </row>
    <row r="899" spans="1:122" ht="15.75" customHeight="1">
      <c r="A899" s="300"/>
      <c r="B899" s="300"/>
      <c r="C899" s="300"/>
      <c r="D899" s="30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97"/>
      <c r="DH899" s="197"/>
      <c r="DI899" s="197"/>
      <c r="DJ899" s="10"/>
      <c r="DK899" s="10"/>
      <c r="DL899" s="10"/>
      <c r="DM899" s="10"/>
      <c r="DN899" s="10"/>
      <c r="DO899" s="10"/>
      <c r="DP899" s="10"/>
      <c r="DQ899" s="10"/>
      <c r="DR899" s="10"/>
    </row>
    <row r="900" spans="1:122" ht="15.75" customHeight="1">
      <c r="A900" s="300"/>
      <c r="B900" s="300"/>
      <c r="C900" s="300"/>
      <c r="D900" s="30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97"/>
      <c r="DH900" s="197"/>
      <c r="DI900" s="197"/>
      <c r="DJ900" s="10"/>
      <c r="DK900" s="10"/>
      <c r="DL900" s="10"/>
      <c r="DM900" s="10"/>
      <c r="DN900" s="10"/>
      <c r="DO900" s="10"/>
      <c r="DP900" s="10"/>
      <c r="DQ900" s="10"/>
      <c r="DR900" s="10"/>
    </row>
    <row r="901" spans="1:122" ht="15.75" customHeight="1">
      <c r="A901" s="300"/>
      <c r="B901" s="300"/>
      <c r="C901" s="300"/>
      <c r="D901" s="30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97"/>
      <c r="DH901" s="197"/>
      <c r="DI901" s="197"/>
      <c r="DJ901" s="10"/>
      <c r="DK901" s="10"/>
      <c r="DL901" s="10"/>
      <c r="DM901" s="10"/>
      <c r="DN901" s="10"/>
      <c r="DO901" s="10"/>
      <c r="DP901" s="10"/>
      <c r="DQ901" s="10"/>
      <c r="DR901" s="10"/>
    </row>
    <row r="902" spans="1:122" ht="15.75" customHeight="1">
      <c r="A902" s="300"/>
      <c r="B902" s="300"/>
      <c r="C902" s="300"/>
      <c r="D902" s="30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97"/>
      <c r="DH902" s="197"/>
      <c r="DI902" s="197"/>
      <c r="DJ902" s="10"/>
      <c r="DK902" s="10"/>
      <c r="DL902" s="10"/>
      <c r="DM902" s="10"/>
      <c r="DN902" s="10"/>
      <c r="DO902" s="10"/>
      <c r="DP902" s="10"/>
      <c r="DQ902" s="10"/>
      <c r="DR902" s="10"/>
    </row>
    <row r="903" spans="1:122" ht="15.75" customHeight="1">
      <c r="A903" s="300"/>
      <c r="B903" s="300"/>
      <c r="C903" s="300"/>
      <c r="D903" s="30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97"/>
      <c r="DH903" s="197"/>
      <c r="DI903" s="197"/>
      <c r="DJ903" s="10"/>
      <c r="DK903" s="10"/>
      <c r="DL903" s="10"/>
      <c r="DM903" s="10"/>
      <c r="DN903" s="10"/>
      <c r="DO903" s="10"/>
      <c r="DP903" s="10"/>
      <c r="DQ903" s="10"/>
      <c r="DR903" s="10"/>
    </row>
    <row r="904" spans="1:122" ht="15.75" customHeight="1">
      <c r="A904" s="300"/>
      <c r="B904" s="300"/>
      <c r="C904" s="300"/>
      <c r="D904" s="30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97"/>
      <c r="DH904" s="197"/>
      <c r="DI904" s="197"/>
      <c r="DJ904" s="10"/>
      <c r="DK904" s="10"/>
      <c r="DL904" s="10"/>
      <c r="DM904" s="10"/>
      <c r="DN904" s="10"/>
      <c r="DO904" s="10"/>
      <c r="DP904" s="10"/>
      <c r="DQ904" s="10"/>
      <c r="DR904" s="10"/>
    </row>
    <row r="905" spans="1:122" ht="15.75" customHeight="1">
      <c r="A905" s="300"/>
      <c r="B905" s="300"/>
      <c r="C905" s="300"/>
      <c r="D905" s="30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97"/>
      <c r="DH905" s="197"/>
      <c r="DI905" s="197"/>
      <c r="DJ905" s="10"/>
      <c r="DK905" s="10"/>
      <c r="DL905" s="10"/>
      <c r="DM905" s="10"/>
      <c r="DN905" s="10"/>
      <c r="DO905" s="10"/>
      <c r="DP905" s="10"/>
      <c r="DQ905" s="10"/>
      <c r="DR905" s="10"/>
    </row>
    <row r="906" spans="1:122" ht="15.75" customHeight="1">
      <c r="A906" s="300"/>
      <c r="B906" s="300"/>
      <c r="C906" s="300"/>
      <c r="D906" s="30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97"/>
      <c r="DH906" s="197"/>
      <c r="DI906" s="197"/>
      <c r="DJ906" s="10"/>
      <c r="DK906" s="10"/>
      <c r="DL906" s="10"/>
      <c r="DM906" s="10"/>
      <c r="DN906" s="10"/>
      <c r="DO906" s="10"/>
      <c r="DP906" s="10"/>
      <c r="DQ906" s="10"/>
      <c r="DR906" s="10"/>
    </row>
    <row r="907" spans="1:122" ht="15.75" customHeight="1">
      <c r="A907" s="300"/>
      <c r="B907" s="300"/>
      <c r="C907" s="300"/>
      <c r="D907" s="30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97"/>
      <c r="DH907" s="197"/>
      <c r="DI907" s="197"/>
      <c r="DJ907" s="10"/>
      <c r="DK907" s="10"/>
      <c r="DL907" s="10"/>
      <c r="DM907" s="10"/>
      <c r="DN907" s="10"/>
      <c r="DO907" s="10"/>
      <c r="DP907" s="10"/>
      <c r="DQ907" s="10"/>
      <c r="DR907" s="10"/>
    </row>
    <row r="908" spans="1:122" ht="15.75" customHeight="1">
      <c r="A908" s="300"/>
      <c r="B908" s="300"/>
      <c r="C908" s="300"/>
      <c r="D908" s="30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97"/>
      <c r="DH908" s="197"/>
      <c r="DI908" s="197"/>
      <c r="DJ908" s="10"/>
      <c r="DK908" s="10"/>
      <c r="DL908" s="10"/>
      <c r="DM908" s="10"/>
      <c r="DN908" s="10"/>
      <c r="DO908" s="10"/>
      <c r="DP908" s="10"/>
      <c r="DQ908" s="10"/>
      <c r="DR908" s="10"/>
    </row>
    <row r="909" spans="1:122" ht="15.75" customHeight="1">
      <c r="A909" s="300"/>
      <c r="B909" s="300"/>
      <c r="C909" s="300"/>
      <c r="D909" s="30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97"/>
      <c r="DH909" s="197"/>
      <c r="DI909" s="197"/>
      <c r="DJ909" s="10"/>
      <c r="DK909" s="10"/>
      <c r="DL909" s="10"/>
      <c r="DM909" s="10"/>
      <c r="DN909" s="10"/>
      <c r="DO909" s="10"/>
      <c r="DP909" s="10"/>
      <c r="DQ909" s="10"/>
      <c r="DR909" s="10"/>
    </row>
    <row r="910" spans="1:122" ht="15.75" customHeight="1">
      <c r="A910" s="300"/>
      <c r="B910" s="300"/>
      <c r="C910" s="300"/>
      <c r="D910" s="30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97"/>
      <c r="DH910" s="197"/>
      <c r="DI910" s="197"/>
      <c r="DJ910" s="10"/>
      <c r="DK910" s="10"/>
      <c r="DL910" s="10"/>
      <c r="DM910" s="10"/>
      <c r="DN910" s="10"/>
      <c r="DO910" s="10"/>
      <c r="DP910" s="10"/>
      <c r="DQ910" s="10"/>
      <c r="DR910" s="10"/>
    </row>
    <row r="911" spans="1:122" ht="15.75" customHeight="1">
      <c r="A911" s="300"/>
      <c r="B911" s="300"/>
      <c r="C911" s="300"/>
      <c r="D911" s="30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97"/>
      <c r="DH911" s="197"/>
      <c r="DI911" s="197"/>
      <c r="DJ911" s="10"/>
      <c r="DK911" s="10"/>
      <c r="DL911" s="10"/>
      <c r="DM911" s="10"/>
      <c r="DN911" s="10"/>
      <c r="DO911" s="10"/>
      <c r="DP911" s="10"/>
      <c r="DQ911" s="10"/>
      <c r="DR911" s="10"/>
    </row>
    <row r="912" spans="1:122" ht="15.75" customHeight="1">
      <c r="A912" s="300"/>
      <c r="B912" s="300"/>
      <c r="C912" s="300"/>
      <c r="D912" s="30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97"/>
      <c r="DH912" s="197"/>
      <c r="DI912" s="197"/>
      <c r="DJ912" s="10"/>
      <c r="DK912" s="10"/>
      <c r="DL912" s="10"/>
      <c r="DM912" s="10"/>
      <c r="DN912" s="10"/>
      <c r="DO912" s="10"/>
      <c r="DP912" s="10"/>
      <c r="DQ912" s="10"/>
      <c r="DR912" s="10"/>
    </row>
    <row r="913" spans="1:122" ht="15.75" customHeight="1">
      <c r="A913" s="300"/>
      <c r="B913" s="300"/>
      <c r="C913" s="300"/>
      <c r="D913" s="30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97"/>
      <c r="DH913" s="197"/>
      <c r="DI913" s="197"/>
      <c r="DJ913" s="10"/>
      <c r="DK913" s="10"/>
      <c r="DL913" s="10"/>
      <c r="DM913" s="10"/>
      <c r="DN913" s="10"/>
      <c r="DO913" s="10"/>
      <c r="DP913" s="10"/>
      <c r="DQ913" s="10"/>
      <c r="DR913" s="10"/>
    </row>
    <row r="914" spans="1:122" ht="15.75" customHeight="1">
      <c r="A914" s="300"/>
      <c r="B914" s="300"/>
      <c r="C914" s="300"/>
      <c r="D914" s="30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97"/>
      <c r="DH914" s="197"/>
      <c r="DI914" s="197"/>
      <c r="DJ914" s="10"/>
      <c r="DK914" s="10"/>
      <c r="DL914" s="10"/>
      <c r="DM914" s="10"/>
      <c r="DN914" s="10"/>
      <c r="DO914" s="10"/>
      <c r="DP914" s="10"/>
      <c r="DQ914" s="10"/>
      <c r="DR914" s="10"/>
    </row>
    <row r="915" spans="1:122" ht="15.75" customHeight="1">
      <c r="A915" s="300"/>
      <c r="B915" s="300"/>
      <c r="C915" s="300"/>
      <c r="D915" s="30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97"/>
      <c r="DH915" s="197"/>
      <c r="DI915" s="197"/>
      <c r="DJ915" s="10"/>
      <c r="DK915" s="10"/>
      <c r="DL915" s="10"/>
      <c r="DM915" s="10"/>
      <c r="DN915" s="10"/>
      <c r="DO915" s="10"/>
      <c r="DP915" s="10"/>
      <c r="DQ915" s="10"/>
      <c r="DR915" s="10"/>
    </row>
    <row r="916" spans="1:122" ht="15.75" customHeight="1">
      <c r="A916" s="300"/>
      <c r="B916" s="300"/>
      <c r="C916" s="300"/>
      <c r="D916" s="30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97"/>
      <c r="DH916" s="197"/>
      <c r="DI916" s="197"/>
      <c r="DJ916" s="10"/>
      <c r="DK916" s="10"/>
      <c r="DL916" s="10"/>
      <c r="DM916" s="10"/>
      <c r="DN916" s="10"/>
      <c r="DO916" s="10"/>
      <c r="DP916" s="10"/>
      <c r="DQ916" s="10"/>
      <c r="DR916" s="10"/>
    </row>
    <row r="917" spans="1:122" ht="15.75" customHeight="1">
      <c r="A917" s="300"/>
      <c r="B917" s="300"/>
      <c r="C917" s="300"/>
      <c r="D917" s="30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97"/>
      <c r="DH917" s="197"/>
      <c r="DI917" s="197"/>
      <c r="DJ917" s="10"/>
      <c r="DK917" s="10"/>
      <c r="DL917" s="10"/>
      <c r="DM917" s="10"/>
      <c r="DN917" s="10"/>
      <c r="DO917" s="10"/>
      <c r="DP917" s="10"/>
      <c r="DQ917" s="10"/>
      <c r="DR917" s="10"/>
    </row>
    <row r="918" spans="1:122" ht="15.75" customHeight="1">
      <c r="A918" s="300"/>
      <c r="B918" s="300"/>
      <c r="C918" s="300"/>
      <c r="D918" s="30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97"/>
      <c r="DH918" s="197"/>
      <c r="DI918" s="197"/>
      <c r="DJ918" s="10"/>
      <c r="DK918" s="10"/>
      <c r="DL918" s="10"/>
      <c r="DM918" s="10"/>
      <c r="DN918" s="10"/>
      <c r="DO918" s="10"/>
      <c r="DP918" s="10"/>
      <c r="DQ918" s="10"/>
      <c r="DR918" s="10"/>
    </row>
    <row r="919" spans="1:122" ht="15.75" customHeight="1">
      <c r="A919" s="300"/>
      <c r="B919" s="300"/>
      <c r="C919" s="300"/>
      <c r="D919" s="30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97"/>
      <c r="DH919" s="197"/>
      <c r="DI919" s="197"/>
      <c r="DJ919" s="10"/>
      <c r="DK919" s="10"/>
      <c r="DL919" s="10"/>
      <c r="DM919" s="10"/>
      <c r="DN919" s="10"/>
      <c r="DO919" s="10"/>
      <c r="DP919" s="10"/>
      <c r="DQ919" s="10"/>
      <c r="DR919" s="10"/>
    </row>
    <row r="920" spans="1:122" ht="15.75" customHeight="1">
      <c r="A920" s="300"/>
      <c r="B920" s="300"/>
      <c r="C920" s="300"/>
      <c r="D920" s="30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97"/>
      <c r="DH920" s="197"/>
      <c r="DI920" s="197"/>
      <c r="DJ920" s="10"/>
      <c r="DK920" s="10"/>
      <c r="DL920" s="10"/>
      <c r="DM920" s="10"/>
      <c r="DN920" s="10"/>
      <c r="DO920" s="10"/>
      <c r="DP920" s="10"/>
      <c r="DQ920" s="10"/>
      <c r="DR920" s="10"/>
    </row>
    <row r="921" spans="1:122" ht="15.75" customHeight="1">
      <c r="A921" s="300"/>
      <c r="B921" s="300"/>
      <c r="C921" s="300"/>
      <c r="D921" s="30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97"/>
      <c r="DH921" s="197"/>
      <c r="DI921" s="197"/>
      <c r="DJ921" s="10"/>
      <c r="DK921" s="10"/>
      <c r="DL921" s="10"/>
      <c r="DM921" s="10"/>
      <c r="DN921" s="10"/>
      <c r="DO921" s="10"/>
      <c r="DP921" s="10"/>
      <c r="DQ921" s="10"/>
      <c r="DR921" s="10"/>
    </row>
    <row r="922" spans="1:122" ht="15.75" customHeight="1">
      <c r="A922" s="300"/>
      <c r="B922" s="300"/>
      <c r="C922" s="300"/>
      <c r="D922" s="30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97"/>
      <c r="DH922" s="197"/>
      <c r="DI922" s="197"/>
      <c r="DJ922" s="10"/>
      <c r="DK922" s="10"/>
      <c r="DL922" s="10"/>
      <c r="DM922" s="10"/>
      <c r="DN922" s="10"/>
      <c r="DO922" s="10"/>
      <c r="DP922" s="10"/>
      <c r="DQ922" s="10"/>
      <c r="DR922" s="10"/>
    </row>
    <row r="923" spans="1:122" ht="15.75" customHeight="1">
      <c r="A923" s="300"/>
      <c r="B923" s="300"/>
      <c r="C923" s="300"/>
      <c r="D923" s="30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97"/>
      <c r="DH923" s="197"/>
      <c r="DI923" s="197"/>
      <c r="DJ923" s="10"/>
      <c r="DK923" s="10"/>
      <c r="DL923" s="10"/>
      <c r="DM923" s="10"/>
      <c r="DN923" s="10"/>
      <c r="DO923" s="10"/>
      <c r="DP923" s="10"/>
      <c r="DQ923" s="10"/>
      <c r="DR923" s="10"/>
    </row>
    <row r="924" spans="1:122" ht="15.75" customHeight="1">
      <c r="A924" s="300"/>
      <c r="B924" s="300"/>
      <c r="C924" s="300"/>
      <c r="D924" s="30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97"/>
      <c r="DH924" s="197"/>
      <c r="DI924" s="197"/>
      <c r="DJ924" s="10"/>
      <c r="DK924" s="10"/>
      <c r="DL924" s="10"/>
      <c r="DM924" s="10"/>
      <c r="DN924" s="10"/>
      <c r="DO924" s="10"/>
      <c r="DP924" s="10"/>
      <c r="DQ924" s="10"/>
      <c r="DR924" s="10"/>
    </row>
    <row r="925" spans="1:122" ht="15.75" customHeight="1">
      <c r="A925" s="300"/>
      <c r="B925" s="300"/>
      <c r="C925" s="300"/>
      <c r="D925" s="30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97"/>
      <c r="DH925" s="197"/>
      <c r="DI925" s="197"/>
      <c r="DJ925" s="10"/>
      <c r="DK925" s="10"/>
      <c r="DL925" s="10"/>
      <c r="DM925" s="10"/>
      <c r="DN925" s="10"/>
      <c r="DO925" s="10"/>
      <c r="DP925" s="10"/>
      <c r="DQ925" s="10"/>
      <c r="DR925" s="10"/>
    </row>
    <row r="926" spans="1:122" ht="15.75" customHeight="1">
      <c r="A926" s="300"/>
      <c r="B926" s="300"/>
      <c r="C926" s="300"/>
      <c r="D926" s="30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97"/>
      <c r="DH926" s="197"/>
      <c r="DI926" s="197"/>
      <c r="DJ926" s="10"/>
      <c r="DK926" s="10"/>
      <c r="DL926" s="10"/>
      <c r="DM926" s="10"/>
      <c r="DN926" s="10"/>
      <c r="DO926" s="10"/>
      <c r="DP926" s="10"/>
      <c r="DQ926" s="10"/>
      <c r="DR926" s="10"/>
    </row>
    <row r="927" spans="1:122" ht="15.75" customHeight="1">
      <c r="A927" s="300"/>
      <c r="B927" s="300"/>
      <c r="C927" s="300"/>
      <c r="D927" s="30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97"/>
      <c r="DH927" s="197"/>
      <c r="DI927" s="197"/>
      <c r="DJ927" s="10"/>
      <c r="DK927" s="10"/>
      <c r="DL927" s="10"/>
      <c r="DM927" s="10"/>
      <c r="DN927" s="10"/>
      <c r="DO927" s="10"/>
      <c r="DP927" s="10"/>
      <c r="DQ927" s="10"/>
      <c r="DR927" s="10"/>
    </row>
    <row r="928" spans="1:122" ht="15.75" customHeight="1">
      <c r="A928" s="300"/>
      <c r="B928" s="300"/>
      <c r="C928" s="300"/>
      <c r="D928" s="30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97"/>
      <c r="DH928" s="197"/>
      <c r="DI928" s="197"/>
      <c r="DJ928" s="10"/>
      <c r="DK928" s="10"/>
      <c r="DL928" s="10"/>
      <c r="DM928" s="10"/>
      <c r="DN928" s="10"/>
      <c r="DO928" s="10"/>
      <c r="DP928" s="10"/>
      <c r="DQ928" s="10"/>
      <c r="DR928" s="10"/>
    </row>
    <row r="929" spans="1:122" ht="15.75" customHeight="1">
      <c r="A929" s="300"/>
      <c r="B929" s="300"/>
      <c r="C929" s="300"/>
      <c r="D929" s="30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97"/>
      <c r="DH929" s="197"/>
      <c r="DI929" s="197"/>
      <c r="DJ929" s="10"/>
      <c r="DK929" s="10"/>
      <c r="DL929" s="10"/>
      <c r="DM929" s="10"/>
      <c r="DN929" s="10"/>
      <c r="DO929" s="10"/>
      <c r="DP929" s="10"/>
      <c r="DQ929" s="10"/>
      <c r="DR929" s="10"/>
    </row>
    <row r="930" spans="1:122" ht="15.75" customHeight="1">
      <c r="A930" s="300"/>
      <c r="B930" s="300"/>
      <c r="C930" s="300"/>
      <c r="D930" s="30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97"/>
      <c r="DH930" s="197"/>
      <c r="DI930" s="197"/>
      <c r="DJ930" s="10"/>
      <c r="DK930" s="10"/>
      <c r="DL930" s="10"/>
      <c r="DM930" s="10"/>
      <c r="DN930" s="10"/>
      <c r="DO930" s="10"/>
      <c r="DP930" s="10"/>
      <c r="DQ930" s="10"/>
      <c r="DR930" s="10"/>
    </row>
    <row r="931" spans="1:122" ht="15.75" customHeight="1">
      <c r="A931" s="300"/>
      <c r="B931" s="300"/>
      <c r="C931" s="300"/>
      <c r="D931" s="30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97"/>
      <c r="DH931" s="197"/>
      <c r="DI931" s="197"/>
      <c r="DJ931" s="10"/>
      <c r="DK931" s="10"/>
      <c r="DL931" s="10"/>
      <c r="DM931" s="10"/>
      <c r="DN931" s="10"/>
      <c r="DO931" s="10"/>
      <c r="DP931" s="10"/>
      <c r="DQ931" s="10"/>
      <c r="DR931" s="10"/>
    </row>
    <row r="932" spans="1:122" ht="15.75" customHeight="1">
      <c r="A932" s="300"/>
      <c r="B932" s="300"/>
      <c r="C932" s="300"/>
      <c r="D932" s="30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97"/>
      <c r="DH932" s="197"/>
      <c r="DI932" s="197"/>
      <c r="DJ932" s="10"/>
      <c r="DK932" s="10"/>
      <c r="DL932" s="10"/>
      <c r="DM932" s="10"/>
      <c r="DN932" s="10"/>
      <c r="DO932" s="10"/>
      <c r="DP932" s="10"/>
      <c r="DQ932" s="10"/>
      <c r="DR932" s="10"/>
    </row>
    <row r="933" spans="1:122" ht="15.75" customHeight="1">
      <c r="A933" s="300"/>
      <c r="B933" s="300"/>
      <c r="C933" s="300"/>
      <c r="D933" s="30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97"/>
      <c r="DH933" s="197"/>
      <c r="DI933" s="197"/>
      <c r="DJ933" s="10"/>
      <c r="DK933" s="10"/>
      <c r="DL933" s="10"/>
      <c r="DM933" s="10"/>
      <c r="DN933" s="10"/>
      <c r="DO933" s="10"/>
      <c r="DP933" s="10"/>
      <c r="DQ933" s="10"/>
      <c r="DR933" s="10"/>
    </row>
    <row r="934" spans="1:122" ht="15.75" customHeight="1">
      <c r="A934" s="300"/>
      <c r="B934" s="300"/>
      <c r="C934" s="300"/>
      <c r="D934" s="30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97"/>
      <c r="DH934" s="197"/>
      <c r="DI934" s="197"/>
      <c r="DJ934" s="10"/>
      <c r="DK934" s="10"/>
      <c r="DL934" s="10"/>
      <c r="DM934" s="10"/>
      <c r="DN934" s="10"/>
      <c r="DO934" s="10"/>
      <c r="DP934" s="10"/>
      <c r="DQ934" s="10"/>
      <c r="DR934" s="10"/>
    </row>
    <row r="935" spans="1:122" ht="15.75" customHeight="1">
      <c r="A935" s="300"/>
      <c r="B935" s="300"/>
      <c r="C935" s="300"/>
      <c r="D935" s="30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97"/>
      <c r="DH935" s="197"/>
      <c r="DI935" s="197"/>
      <c r="DJ935" s="10"/>
      <c r="DK935" s="10"/>
      <c r="DL935" s="10"/>
      <c r="DM935" s="10"/>
      <c r="DN935" s="10"/>
      <c r="DO935" s="10"/>
      <c r="DP935" s="10"/>
      <c r="DQ935" s="10"/>
      <c r="DR935" s="10"/>
    </row>
    <row r="936" spans="1:122" ht="15.75" customHeight="1">
      <c r="A936" s="300"/>
      <c r="B936" s="300"/>
      <c r="C936" s="300"/>
      <c r="D936" s="30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97"/>
      <c r="DH936" s="197"/>
      <c r="DI936" s="197"/>
      <c r="DJ936" s="10"/>
      <c r="DK936" s="10"/>
      <c r="DL936" s="10"/>
      <c r="DM936" s="10"/>
      <c r="DN936" s="10"/>
      <c r="DO936" s="10"/>
      <c r="DP936" s="10"/>
      <c r="DQ936" s="10"/>
      <c r="DR936" s="10"/>
    </row>
    <row r="937" spans="1:122" ht="15.75" customHeight="1">
      <c r="A937" s="300"/>
      <c r="B937" s="300"/>
      <c r="C937" s="300"/>
      <c r="D937" s="30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97"/>
      <c r="DH937" s="197"/>
      <c r="DI937" s="197"/>
      <c r="DJ937" s="10"/>
      <c r="DK937" s="10"/>
      <c r="DL937" s="10"/>
      <c r="DM937" s="10"/>
      <c r="DN937" s="10"/>
      <c r="DO937" s="10"/>
      <c r="DP937" s="10"/>
      <c r="DQ937" s="10"/>
      <c r="DR937" s="10"/>
    </row>
    <row r="938" spans="1:122" ht="15.75" customHeight="1">
      <c r="A938" s="300"/>
      <c r="B938" s="300"/>
      <c r="C938" s="300"/>
      <c r="D938" s="30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97"/>
      <c r="DH938" s="197"/>
      <c r="DI938" s="197"/>
      <c r="DJ938" s="10"/>
      <c r="DK938" s="10"/>
      <c r="DL938" s="10"/>
      <c r="DM938" s="10"/>
      <c r="DN938" s="10"/>
      <c r="DO938" s="10"/>
      <c r="DP938" s="10"/>
      <c r="DQ938" s="10"/>
      <c r="DR938" s="10"/>
    </row>
    <row r="939" spans="1:122" ht="15.75" customHeight="1">
      <c r="A939" s="300"/>
      <c r="B939" s="300"/>
      <c r="C939" s="300"/>
      <c r="D939" s="30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97"/>
      <c r="DH939" s="197"/>
      <c r="DI939" s="197"/>
      <c r="DJ939" s="10"/>
      <c r="DK939" s="10"/>
      <c r="DL939" s="10"/>
      <c r="DM939" s="10"/>
      <c r="DN939" s="10"/>
      <c r="DO939" s="10"/>
      <c r="DP939" s="10"/>
      <c r="DQ939" s="10"/>
      <c r="DR939" s="10"/>
    </row>
    <row r="940" spans="1:122" ht="15.75" customHeight="1">
      <c r="A940" s="300"/>
      <c r="B940" s="300"/>
      <c r="C940" s="300"/>
      <c r="D940" s="30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97"/>
      <c r="DH940" s="197"/>
      <c r="DI940" s="197"/>
      <c r="DJ940" s="10"/>
      <c r="DK940" s="10"/>
      <c r="DL940" s="10"/>
      <c r="DM940" s="10"/>
      <c r="DN940" s="10"/>
      <c r="DO940" s="10"/>
      <c r="DP940" s="10"/>
      <c r="DQ940" s="10"/>
      <c r="DR940" s="10"/>
    </row>
    <row r="941" spans="1:122" ht="15.75" customHeight="1">
      <c r="A941" s="300"/>
      <c r="B941" s="300"/>
      <c r="C941" s="300"/>
      <c r="D941" s="30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97"/>
      <c r="DH941" s="197"/>
      <c r="DI941" s="197"/>
      <c r="DJ941" s="10"/>
      <c r="DK941" s="10"/>
      <c r="DL941" s="10"/>
      <c r="DM941" s="10"/>
      <c r="DN941" s="10"/>
      <c r="DO941" s="10"/>
      <c r="DP941" s="10"/>
      <c r="DQ941" s="10"/>
      <c r="DR941" s="10"/>
    </row>
    <row r="942" spans="1:122" ht="15.75" customHeight="1">
      <c r="A942" s="300"/>
      <c r="B942" s="300"/>
      <c r="C942" s="300"/>
      <c r="D942" s="30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97"/>
      <c r="DH942" s="197"/>
      <c r="DI942" s="197"/>
      <c r="DJ942" s="10"/>
      <c r="DK942" s="10"/>
      <c r="DL942" s="10"/>
      <c r="DM942" s="10"/>
      <c r="DN942" s="10"/>
      <c r="DO942" s="10"/>
      <c r="DP942" s="10"/>
      <c r="DQ942" s="10"/>
      <c r="DR942" s="10"/>
    </row>
    <row r="943" spans="1:122" ht="15.75" customHeight="1">
      <c r="A943" s="300"/>
      <c r="B943" s="300"/>
      <c r="C943" s="300"/>
      <c r="D943" s="30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97"/>
      <c r="DH943" s="197"/>
      <c r="DI943" s="197"/>
      <c r="DJ943" s="10"/>
      <c r="DK943" s="10"/>
      <c r="DL943" s="10"/>
      <c r="DM943" s="10"/>
      <c r="DN943" s="10"/>
      <c r="DO943" s="10"/>
      <c r="DP943" s="10"/>
      <c r="DQ943" s="10"/>
      <c r="DR943" s="10"/>
    </row>
    <row r="944" spans="1:122" ht="15.75" customHeight="1">
      <c r="A944" s="300"/>
      <c r="B944" s="300"/>
      <c r="C944" s="300"/>
      <c r="D944" s="30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97"/>
      <c r="DH944" s="197"/>
      <c r="DI944" s="197"/>
      <c r="DJ944" s="10"/>
      <c r="DK944" s="10"/>
      <c r="DL944" s="10"/>
      <c r="DM944" s="10"/>
      <c r="DN944" s="10"/>
      <c r="DO944" s="10"/>
      <c r="DP944" s="10"/>
      <c r="DQ944" s="10"/>
      <c r="DR944" s="10"/>
    </row>
    <row r="945" spans="1:122" ht="15.75" customHeight="1">
      <c r="A945" s="300"/>
      <c r="B945" s="300"/>
      <c r="C945" s="300"/>
      <c r="D945" s="30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97"/>
      <c r="DH945" s="197"/>
      <c r="DI945" s="197"/>
      <c r="DJ945" s="10"/>
      <c r="DK945" s="10"/>
      <c r="DL945" s="10"/>
      <c r="DM945" s="10"/>
      <c r="DN945" s="10"/>
      <c r="DO945" s="10"/>
      <c r="DP945" s="10"/>
      <c r="DQ945" s="10"/>
      <c r="DR945" s="10"/>
    </row>
    <row r="946" spans="1:122" ht="15.75" customHeight="1">
      <c r="A946" s="300"/>
      <c r="B946" s="300"/>
      <c r="C946" s="300"/>
      <c r="D946" s="30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97"/>
      <c r="DH946" s="197"/>
      <c r="DI946" s="197"/>
      <c r="DJ946" s="10"/>
      <c r="DK946" s="10"/>
      <c r="DL946" s="10"/>
      <c r="DM946" s="10"/>
      <c r="DN946" s="10"/>
      <c r="DO946" s="10"/>
      <c r="DP946" s="10"/>
      <c r="DQ946" s="10"/>
      <c r="DR946" s="10"/>
    </row>
    <row r="947" spans="1:122" ht="15.75" customHeight="1">
      <c r="A947" s="300"/>
      <c r="B947" s="300"/>
      <c r="C947" s="300"/>
      <c r="D947" s="30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97"/>
      <c r="DH947" s="197"/>
      <c r="DI947" s="197"/>
      <c r="DJ947" s="10"/>
      <c r="DK947" s="10"/>
      <c r="DL947" s="10"/>
      <c r="DM947" s="10"/>
      <c r="DN947" s="10"/>
      <c r="DO947" s="10"/>
      <c r="DP947" s="10"/>
      <c r="DQ947" s="10"/>
      <c r="DR947" s="10"/>
    </row>
    <row r="948" spans="1:122" ht="15.75" customHeight="1">
      <c r="A948" s="300"/>
      <c r="B948" s="300"/>
      <c r="C948" s="300"/>
      <c r="D948" s="30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97"/>
      <c r="DH948" s="197"/>
      <c r="DI948" s="197"/>
      <c r="DJ948" s="10"/>
      <c r="DK948" s="10"/>
      <c r="DL948" s="10"/>
      <c r="DM948" s="10"/>
      <c r="DN948" s="10"/>
      <c r="DO948" s="10"/>
      <c r="DP948" s="10"/>
      <c r="DQ948" s="10"/>
      <c r="DR948" s="10"/>
    </row>
    <row r="949" spans="1:122" ht="15.75" customHeight="1">
      <c r="A949" s="300"/>
      <c r="B949" s="300"/>
      <c r="C949" s="300"/>
      <c r="D949" s="30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97"/>
      <c r="DH949" s="197"/>
      <c r="DI949" s="197"/>
      <c r="DJ949" s="10"/>
      <c r="DK949" s="10"/>
      <c r="DL949" s="10"/>
      <c r="DM949" s="10"/>
      <c r="DN949" s="10"/>
      <c r="DO949" s="10"/>
      <c r="DP949" s="10"/>
      <c r="DQ949" s="10"/>
      <c r="DR949" s="10"/>
    </row>
    <row r="950" spans="1:122" ht="15.75" customHeight="1">
      <c r="A950" s="300"/>
      <c r="B950" s="300"/>
      <c r="C950" s="300"/>
      <c r="D950" s="30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97"/>
      <c r="DH950" s="197"/>
      <c r="DI950" s="197"/>
      <c r="DJ950" s="10"/>
      <c r="DK950" s="10"/>
      <c r="DL950" s="10"/>
      <c r="DM950" s="10"/>
      <c r="DN950" s="10"/>
      <c r="DO950" s="10"/>
      <c r="DP950" s="10"/>
      <c r="DQ950" s="10"/>
      <c r="DR950" s="10"/>
    </row>
    <row r="951" spans="1:122" ht="15.75" customHeight="1">
      <c r="A951" s="300"/>
      <c r="B951" s="300"/>
      <c r="C951" s="300"/>
      <c r="D951" s="30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97"/>
      <c r="DH951" s="197"/>
      <c r="DI951" s="197"/>
      <c r="DJ951" s="10"/>
      <c r="DK951" s="10"/>
      <c r="DL951" s="10"/>
      <c r="DM951" s="10"/>
      <c r="DN951" s="10"/>
      <c r="DO951" s="10"/>
      <c r="DP951" s="10"/>
      <c r="DQ951" s="10"/>
      <c r="DR951" s="10"/>
    </row>
    <row r="952" spans="1:122" ht="15.75" customHeight="1">
      <c r="A952" s="300"/>
      <c r="B952" s="300"/>
      <c r="C952" s="300"/>
      <c r="D952" s="30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97"/>
      <c r="DH952" s="197"/>
      <c r="DI952" s="197"/>
      <c r="DJ952" s="10"/>
      <c r="DK952" s="10"/>
      <c r="DL952" s="10"/>
      <c r="DM952" s="10"/>
      <c r="DN952" s="10"/>
      <c r="DO952" s="10"/>
      <c r="DP952" s="10"/>
      <c r="DQ952" s="10"/>
      <c r="DR952" s="10"/>
    </row>
    <row r="953" spans="1:122" ht="15.75" customHeight="1">
      <c r="A953" s="300"/>
      <c r="B953" s="300"/>
      <c r="C953" s="300"/>
      <c r="D953" s="30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97"/>
      <c r="DH953" s="197"/>
      <c r="DI953" s="197"/>
      <c r="DJ953" s="10"/>
      <c r="DK953" s="10"/>
      <c r="DL953" s="10"/>
      <c r="DM953" s="10"/>
      <c r="DN953" s="10"/>
      <c r="DO953" s="10"/>
      <c r="DP953" s="10"/>
      <c r="DQ953" s="10"/>
      <c r="DR953" s="10"/>
    </row>
    <row r="954" spans="1:122" ht="15.75" customHeight="1">
      <c r="A954" s="300"/>
      <c r="B954" s="300"/>
      <c r="C954" s="300"/>
      <c r="D954" s="30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97"/>
      <c r="DH954" s="197"/>
      <c r="DI954" s="197"/>
      <c r="DJ954" s="10"/>
      <c r="DK954" s="10"/>
      <c r="DL954" s="10"/>
      <c r="DM954" s="10"/>
      <c r="DN954" s="10"/>
      <c r="DO954" s="10"/>
      <c r="DP954" s="10"/>
      <c r="DQ954" s="10"/>
      <c r="DR954" s="10"/>
    </row>
    <row r="955" spans="1:122" ht="15.75" customHeight="1">
      <c r="A955" s="300"/>
      <c r="B955" s="300"/>
      <c r="C955" s="300"/>
      <c r="D955" s="30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97"/>
      <c r="DH955" s="197"/>
      <c r="DI955" s="197"/>
      <c r="DJ955" s="10"/>
      <c r="DK955" s="10"/>
      <c r="DL955" s="10"/>
      <c r="DM955" s="10"/>
      <c r="DN955" s="10"/>
      <c r="DO955" s="10"/>
      <c r="DP955" s="10"/>
      <c r="DQ955" s="10"/>
      <c r="DR955" s="10"/>
    </row>
    <row r="956" spans="1:122" ht="15.75" customHeight="1">
      <c r="A956" s="300"/>
      <c r="B956" s="300"/>
      <c r="C956" s="300"/>
      <c r="D956" s="30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97"/>
      <c r="DH956" s="197"/>
      <c r="DI956" s="197"/>
      <c r="DJ956" s="10"/>
      <c r="DK956" s="10"/>
      <c r="DL956" s="10"/>
      <c r="DM956" s="10"/>
      <c r="DN956" s="10"/>
      <c r="DO956" s="10"/>
      <c r="DP956" s="10"/>
      <c r="DQ956" s="10"/>
      <c r="DR956" s="10"/>
    </row>
    <row r="957" spans="1:122" ht="15.75" customHeight="1">
      <c r="A957" s="300"/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97"/>
      <c r="DH957" s="197"/>
      <c r="DI957" s="197"/>
      <c r="DJ957" s="10"/>
      <c r="DK957" s="10"/>
      <c r="DL957" s="10"/>
      <c r="DM957" s="10"/>
      <c r="DN957" s="10"/>
      <c r="DO957" s="10"/>
      <c r="DP957" s="10"/>
      <c r="DQ957" s="10"/>
      <c r="DR957" s="10"/>
    </row>
    <row r="958" spans="1:122" ht="15.75" customHeight="1">
      <c r="A958" s="300"/>
      <c r="B958" s="300"/>
      <c r="C958" s="300"/>
      <c r="D958" s="30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97"/>
      <c r="DH958" s="197"/>
      <c r="DI958" s="197"/>
      <c r="DJ958" s="10"/>
      <c r="DK958" s="10"/>
      <c r="DL958" s="10"/>
      <c r="DM958" s="10"/>
      <c r="DN958" s="10"/>
      <c r="DO958" s="10"/>
      <c r="DP958" s="10"/>
      <c r="DQ958" s="10"/>
      <c r="DR958" s="10"/>
    </row>
    <row r="959" spans="1:122" ht="15.75" customHeight="1">
      <c r="A959" s="300"/>
      <c r="B959" s="300"/>
      <c r="C959" s="300"/>
      <c r="D959" s="30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97"/>
      <c r="DH959" s="197"/>
      <c r="DI959" s="197"/>
      <c r="DJ959" s="10"/>
      <c r="DK959" s="10"/>
      <c r="DL959" s="10"/>
      <c r="DM959" s="10"/>
      <c r="DN959" s="10"/>
      <c r="DO959" s="10"/>
      <c r="DP959" s="10"/>
      <c r="DQ959" s="10"/>
      <c r="DR959" s="10"/>
    </row>
    <row r="960" spans="1:122" ht="15.75" customHeight="1">
      <c r="A960" s="300"/>
      <c r="B960" s="300"/>
      <c r="C960" s="300"/>
      <c r="D960" s="30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97"/>
      <c r="DH960" s="197"/>
      <c r="DI960" s="197"/>
      <c r="DJ960" s="10"/>
      <c r="DK960" s="10"/>
      <c r="DL960" s="10"/>
      <c r="DM960" s="10"/>
      <c r="DN960" s="10"/>
      <c r="DO960" s="10"/>
      <c r="DP960" s="10"/>
      <c r="DQ960" s="10"/>
      <c r="DR960" s="10"/>
    </row>
    <row r="961" spans="1:122" ht="15.75" customHeight="1">
      <c r="A961" s="300"/>
      <c r="B961" s="300"/>
      <c r="C961" s="300"/>
      <c r="D961" s="30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97"/>
      <c r="DH961" s="197"/>
      <c r="DI961" s="197"/>
      <c r="DJ961" s="10"/>
      <c r="DK961" s="10"/>
      <c r="DL961" s="10"/>
      <c r="DM961" s="10"/>
      <c r="DN961" s="10"/>
      <c r="DO961" s="10"/>
      <c r="DP961" s="10"/>
      <c r="DQ961" s="10"/>
      <c r="DR961" s="10"/>
    </row>
    <row r="962" spans="1:122" ht="15.75" customHeight="1">
      <c r="A962" s="300"/>
      <c r="B962" s="300"/>
      <c r="C962" s="300"/>
      <c r="D962" s="30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97"/>
      <c r="DH962" s="197"/>
      <c r="DI962" s="197"/>
      <c r="DJ962" s="10"/>
      <c r="DK962" s="10"/>
      <c r="DL962" s="10"/>
      <c r="DM962" s="10"/>
      <c r="DN962" s="10"/>
      <c r="DO962" s="10"/>
      <c r="DP962" s="10"/>
      <c r="DQ962" s="10"/>
      <c r="DR962" s="10"/>
    </row>
    <row r="963" spans="1:122" ht="15.75" customHeight="1">
      <c r="A963" s="300"/>
      <c r="B963" s="300"/>
      <c r="C963" s="300"/>
      <c r="D963" s="30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97"/>
      <c r="DH963" s="197"/>
      <c r="DI963" s="197"/>
      <c r="DJ963" s="10"/>
      <c r="DK963" s="10"/>
      <c r="DL963" s="10"/>
      <c r="DM963" s="10"/>
      <c r="DN963" s="10"/>
      <c r="DO963" s="10"/>
      <c r="DP963" s="10"/>
      <c r="DQ963" s="10"/>
      <c r="DR963" s="10"/>
    </row>
    <row r="964" spans="1:122" ht="15.75" customHeight="1">
      <c r="A964" s="300"/>
      <c r="B964" s="300"/>
      <c r="C964" s="300"/>
      <c r="D964" s="30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97"/>
      <c r="DH964" s="197"/>
      <c r="DI964" s="197"/>
      <c r="DJ964" s="10"/>
      <c r="DK964" s="10"/>
      <c r="DL964" s="10"/>
      <c r="DM964" s="10"/>
      <c r="DN964" s="10"/>
      <c r="DO964" s="10"/>
      <c r="DP964" s="10"/>
      <c r="DQ964" s="10"/>
      <c r="DR964" s="10"/>
    </row>
    <row r="965" spans="1:122" ht="15.75" customHeight="1">
      <c r="A965" s="300"/>
      <c r="B965" s="300"/>
      <c r="C965" s="300"/>
      <c r="D965" s="30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97"/>
      <c r="DH965" s="197"/>
      <c r="DI965" s="197"/>
      <c r="DJ965" s="10"/>
      <c r="DK965" s="10"/>
      <c r="DL965" s="10"/>
      <c r="DM965" s="10"/>
      <c r="DN965" s="10"/>
      <c r="DO965" s="10"/>
      <c r="DP965" s="10"/>
      <c r="DQ965" s="10"/>
      <c r="DR965" s="10"/>
    </row>
    <row r="966" spans="1:122" ht="15.75" customHeight="1">
      <c r="A966" s="300"/>
      <c r="B966" s="300"/>
      <c r="C966" s="300"/>
      <c r="D966" s="30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97"/>
      <c r="DH966" s="197"/>
      <c r="DI966" s="197"/>
      <c r="DJ966" s="10"/>
      <c r="DK966" s="10"/>
      <c r="DL966" s="10"/>
      <c r="DM966" s="10"/>
      <c r="DN966" s="10"/>
      <c r="DO966" s="10"/>
      <c r="DP966" s="10"/>
      <c r="DQ966" s="10"/>
      <c r="DR966" s="10"/>
    </row>
    <row r="967" spans="1:122" ht="15.75" customHeight="1">
      <c r="A967" s="300"/>
      <c r="B967" s="300"/>
      <c r="C967" s="300"/>
      <c r="D967" s="30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97"/>
      <c r="DH967" s="197"/>
      <c r="DI967" s="197"/>
      <c r="DJ967" s="10"/>
      <c r="DK967" s="10"/>
      <c r="DL967" s="10"/>
      <c r="DM967" s="10"/>
      <c r="DN967" s="10"/>
      <c r="DO967" s="10"/>
      <c r="DP967" s="10"/>
      <c r="DQ967" s="10"/>
      <c r="DR967" s="10"/>
    </row>
    <row r="968" spans="1:122" ht="15.75" customHeight="1">
      <c r="A968" s="300"/>
      <c r="B968" s="300"/>
      <c r="C968" s="300"/>
      <c r="D968" s="30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97"/>
      <c r="DH968" s="197"/>
      <c r="DI968" s="197"/>
      <c r="DJ968" s="10"/>
      <c r="DK968" s="10"/>
      <c r="DL968" s="10"/>
      <c r="DM968" s="10"/>
      <c r="DN968" s="10"/>
      <c r="DO968" s="10"/>
      <c r="DP968" s="10"/>
      <c r="DQ968" s="10"/>
      <c r="DR968" s="10"/>
    </row>
    <row r="969" spans="1:122" ht="15.75" customHeight="1">
      <c r="A969" s="300"/>
      <c r="B969" s="300"/>
      <c r="C969" s="300"/>
      <c r="D969" s="30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97"/>
      <c r="DH969" s="197"/>
      <c r="DI969" s="197"/>
      <c r="DJ969" s="10"/>
      <c r="DK969" s="10"/>
      <c r="DL969" s="10"/>
      <c r="DM969" s="10"/>
      <c r="DN969" s="10"/>
      <c r="DO969" s="10"/>
      <c r="DP969" s="10"/>
      <c r="DQ969" s="10"/>
      <c r="DR969" s="10"/>
    </row>
    <row r="970" spans="1:122" ht="15.75" customHeight="1">
      <c r="A970" s="300"/>
      <c r="B970" s="300"/>
      <c r="C970" s="300"/>
      <c r="D970" s="30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97"/>
      <c r="DH970" s="197"/>
      <c r="DI970" s="197"/>
      <c r="DJ970" s="10"/>
      <c r="DK970" s="10"/>
      <c r="DL970" s="10"/>
      <c r="DM970" s="10"/>
      <c r="DN970" s="10"/>
      <c r="DO970" s="10"/>
      <c r="DP970" s="10"/>
      <c r="DQ970" s="10"/>
      <c r="DR970" s="10"/>
    </row>
    <row r="971" spans="1:122" ht="15.75" customHeight="1">
      <c r="A971" s="300"/>
      <c r="B971" s="300"/>
      <c r="C971" s="300"/>
      <c r="D971" s="30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97"/>
      <c r="DH971" s="197"/>
      <c r="DI971" s="197"/>
      <c r="DJ971" s="10"/>
      <c r="DK971" s="10"/>
      <c r="DL971" s="10"/>
      <c r="DM971" s="10"/>
      <c r="DN971" s="10"/>
      <c r="DO971" s="10"/>
      <c r="DP971" s="10"/>
      <c r="DQ971" s="10"/>
      <c r="DR971" s="10"/>
    </row>
    <row r="972" spans="1:122" ht="15.75" customHeight="1">
      <c r="A972" s="300"/>
      <c r="B972" s="300"/>
      <c r="C972" s="300"/>
      <c r="D972" s="30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97"/>
      <c r="DH972" s="197"/>
      <c r="DI972" s="197"/>
      <c r="DJ972" s="10"/>
      <c r="DK972" s="10"/>
      <c r="DL972" s="10"/>
      <c r="DM972" s="10"/>
      <c r="DN972" s="10"/>
      <c r="DO972" s="10"/>
      <c r="DP972" s="10"/>
      <c r="DQ972" s="10"/>
      <c r="DR972" s="10"/>
    </row>
    <row r="973" spans="1:122" ht="15.75" customHeight="1">
      <c r="A973" s="300"/>
      <c r="B973" s="300"/>
      <c r="C973" s="300"/>
      <c r="D973" s="30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97"/>
      <c r="DH973" s="197"/>
      <c r="DI973" s="197"/>
      <c r="DJ973" s="10"/>
      <c r="DK973" s="10"/>
      <c r="DL973" s="10"/>
      <c r="DM973" s="10"/>
      <c r="DN973" s="10"/>
      <c r="DO973" s="10"/>
      <c r="DP973" s="10"/>
      <c r="DQ973" s="10"/>
      <c r="DR973" s="10"/>
    </row>
    <row r="974" spans="1:122" ht="15.75" customHeight="1">
      <c r="A974" s="300"/>
      <c r="B974" s="300"/>
      <c r="C974" s="300"/>
      <c r="D974" s="30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97"/>
      <c r="DH974" s="197"/>
      <c r="DI974" s="197"/>
      <c r="DJ974" s="10"/>
      <c r="DK974" s="10"/>
      <c r="DL974" s="10"/>
      <c r="DM974" s="10"/>
      <c r="DN974" s="10"/>
      <c r="DO974" s="10"/>
      <c r="DP974" s="10"/>
      <c r="DQ974" s="10"/>
      <c r="DR974" s="10"/>
    </row>
    <row r="975" spans="1:122" ht="15.75" customHeight="1">
      <c r="A975" s="300"/>
      <c r="B975" s="300"/>
      <c r="C975" s="300"/>
      <c r="D975" s="30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97"/>
      <c r="DH975" s="197"/>
      <c r="DI975" s="197"/>
      <c r="DJ975" s="10"/>
      <c r="DK975" s="10"/>
      <c r="DL975" s="10"/>
      <c r="DM975" s="10"/>
      <c r="DN975" s="10"/>
      <c r="DO975" s="10"/>
      <c r="DP975" s="10"/>
      <c r="DQ975" s="10"/>
      <c r="DR975" s="10"/>
    </row>
    <row r="976" spans="1:122" ht="15.75" customHeight="1">
      <c r="A976" s="300"/>
      <c r="B976" s="300"/>
      <c r="C976" s="300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97"/>
      <c r="DH976" s="197"/>
      <c r="DI976" s="197"/>
      <c r="DJ976" s="10"/>
      <c r="DK976" s="10"/>
      <c r="DL976" s="10"/>
      <c r="DM976" s="10"/>
      <c r="DN976" s="10"/>
      <c r="DO976" s="10"/>
      <c r="DP976" s="10"/>
      <c r="DQ976" s="10"/>
      <c r="DR976" s="10"/>
    </row>
    <row r="977" spans="1:122" ht="15.75" customHeight="1">
      <c r="A977" s="300"/>
      <c r="B977" s="300"/>
      <c r="C977" s="300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97"/>
      <c r="DH977" s="197"/>
      <c r="DI977" s="197"/>
      <c r="DJ977" s="10"/>
      <c r="DK977" s="10"/>
      <c r="DL977" s="10"/>
      <c r="DM977" s="10"/>
      <c r="DN977" s="10"/>
      <c r="DO977" s="10"/>
      <c r="DP977" s="10"/>
      <c r="DQ977" s="10"/>
      <c r="DR977" s="10"/>
    </row>
    <row r="978" spans="1:122" ht="15.75" customHeight="1">
      <c r="A978" s="300"/>
      <c r="B978" s="300"/>
      <c r="C978" s="300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97"/>
      <c r="DH978" s="197"/>
      <c r="DI978" s="197"/>
      <c r="DJ978" s="10"/>
      <c r="DK978" s="10"/>
      <c r="DL978" s="10"/>
      <c r="DM978" s="10"/>
      <c r="DN978" s="10"/>
      <c r="DO978" s="10"/>
      <c r="DP978" s="10"/>
      <c r="DQ978" s="10"/>
      <c r="DR978" s="10"/>
    </row>
    <row r="979" spans="1:122" ht="15.75" customHeight="1">
      <c r="A979" s="300"/>
      <c r="B979" s="300"/>
      <c r="C979" s="300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97"/>
      <c r="DH979" s="197"/>
      <c r="DI979" s="197"/>
      <c r="DJ979" s="10"/>
      <c r="DK979" s="10"/>
      <c r="DL979" s="10"/>
      <c r="DM979" s="10"/>
      <c r="DN979" s="10"/>
      <c r="DO979" s="10"/>
      <c r="DP979" s="10"/>
      <c r="DQ979" s="10"/>
      <c r="DR979" s="10"/>
    </row>
    <row r="980" spans="1:122" ht="15.75" customHeight="1">
      <c r="A980" s="300"/>
      <c r="B980" s="300"/>
      <c r="C980" s="300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97"/>
      <c r="DH980" s="197"/>
      <c r="DI980" s="197"/>
      <c r="DJ980" s="10"/>
      <c r="DK980" s="10"/>
      <c r="DL980" s="10"/>
      <c r="DM980" s="10"/>
      <c r="DN980" s="10"/>
      <c r="DO980" s="10"/>
      <c r="DP980" s="10"/>
      <c r="DQ980" s="10"/>
      <c r="DR980" s="10"/>
    </row>
    <row r="981" spans="1:122" ht="15.75" customHeight="1">
      <c r="A981" s="300"/>
      <c r="B981" s="300"/>
      <c r="C981" s="300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97"/>
      <c r="DH981" s="197"/>
      <c r="DI981" s="197"/>
      <c r="DJ981" s="10"/>
      <c r="DK981" s="10"/>
      <c r="DL981" s="10"/>
      <c r="DM981" s="10"/>
      <c r="DN981" s="10"/>
      <c r="DO981" s="10"/>
      <c r="DP981" s="10"/>
      <c r="DQ981" s="10"/>
      <c r="DR981" s="10"/>
    </row>
    <row r="982" spans="1:122" ht="15.75" customHeight="1">
      <c r="A982" s="300"/>
      <c r="B982" s="300"/>
      <c r="C982" s="300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97"/>
      <c r="DH982" s="197"/>
      <c r="DI982" s="197"/>
      <c r="DJ982" s="10"/>
      <c r="DK982" s="10"/>
      <c r="DL982" s="10"/>
      <c r="DM982" s="10"/>
      <c r="DN982" s="10"/>
      <c r="DO982" s="10"/>
      <c r="DP982" s="10"/>
      <c r="DQ982" s="10"/>
      <c r="DR982" s="10"/>
    </row>
    <row r="983" spans="1:122" ht="15.75" customHeight="1">
      <c r="A983" s="300"/>
      <c r="B983" s="300"/>
      <c r="C983" s="300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97"/>
      <c r="DH983" s="197"/>
      <c r="DI983" s="197"/>
      <c r="DJ983" s="10"/>
      <c r="DK983" s="10"/>
      <c r="DL983" s="10"/>
      <c r="DM983" s="10"/>
      <c r="DN983" s="10"/>
      <c r="DO983" s="10"/>
      <c r="DP983" s="10"/>
      <c r="DQ983" s="10"/>
      <c r="DR983" s="10"/>
    </row>
    <row r="984" spans="1:122" ht="15.75" customHeight="1">
      <c r="A984" s="300"/>
      <c r="B984" s="300"/>
      <c r="C984" s="300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97"/>
      <c r="DH984" s="197"/>
      <c r="DI984" s="197"/>
      <c r="DJ984" s="10"/>
      <c r="DK984" s="10"/>
      <c r="DL984" s="10"/>
      <c r="DM984" s="10"/>
      <c r="DN984" s="10"/>
      <c r="DO984" s="10"/>
      <c r="DP984" s="10"/>
      <c r="DQ984" s="10"/>
      <c r="DR984" s="10"/>
    </row>
    <row r="985" spans="1:122" ht="15.75" customHeight="1">
      <c r="A985" s="300"/>
      <c r="B985" s="300"/>
      <c r="C985" s="300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97"/>
      <c r="DH985" s="197"/>
      <c r="DI985" s="197"/>
      <c r="DJ985" s="10"/>
      <c r="DK985" s="10"/>
      <c r="DL985" s="10"/>
      <c r="DM985" s="10"/>
      <c r="DN985" s="10"/>
      <c r="DO985" s="10"/>
      <c r="DP985" s="10"/>
      <c r="DQ985" s="10"/>
      <c r="DR985" s="10"/>
    </row>
    <row r="986" spans="1:122" ht="15.75" customHeight="1">
      <c r="A986" s="300"/>
      <c r="B986" s="300"/>
      <c r="C986" s="300"/>
      <c r="D986" s="30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97"/>
      <c r="DH986" s="197"/>
      <c r="DI986" s="197"/>
      <c r="DJ986" s="10"/>
      <c r="DK986" s="10"/>
      <c r="DL986" s="10"/>
      <c r="DM986" s="10"/>
      <c r="DN986" s="10"/>
      <c r="DO986" s="10"/>
      <c r="DP986" s="10"/>
      <c r="DQ986" s="10"/>
      <c r="DR986" s="10"/>
    </row>
    <row r="987" spans="1:122" ht="15.75" customHeight="1">
      <c r="A987" s="300"/>
      <c r="B987" s="300"/>
      <c r="C987" s="300"/>
      <c r="D987" s="30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97"/>
      <c r="DH987" s="197"/>
      <c r="DI987" s="197"/>
      <c r="DJ987" s="10"/>
      <c r="DK987" s="10"/>
      <c r="DL987" s="10"/>
      <c r="DM987" s="10"/>
      <c r="DN987" s="10"/>
      <c r="DO987" s="10"/>
      <c r="DP987" s="10"/>
      <c r="DQ987" s="10"/>
      <c r="DR987" s="10"/>
    </row>
    <row r="988" spans="1:122" ht="15.75" customHeight="1">
      <c r="A988" s="300"/>
      <c r="B988" s="300"/>
      <c r="C988" s="300"/>
      <c r="D988" s="30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97"/>
      <c r="DH988" s="197"/>
      <c r="DI988" s="197"/>
      <c r="DJ988" s="10"/>
      <c r="DK988" s="10"/>
      <c r="DL988" s="10"/>
      <c r="DM988" s="10"/>
      <c r="DN988" s="10"/>
      <c r="DO988" s="10"/>
      <c r="DP988" s="10"/>
      <c r="DQ988" s="10"/>
      <c r="DR988" s="10"/>
    </row>
    <row r="989" spans="1:122" ht="15.75" customHeight="1">
      <c r="A989" s="300"/>
      <c r="B989" s="300"/>
      <c r="C989" s="300"/>
      <c r="D989" s="30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97"/>
      <c r="DH989" s="197"/>
      <c r="DI989" s="197"/>
      <c r="DJ989" s="10"/>
      <c r="DK989" s="10"/>
      <c r="DL989" s="10"/>
      <c r="DM989" s="10"/>
      <c r="DN989" s="10"/>
      <c r="DO989" s="10"/>
      <c r="DP989" s="10"/>
      <c r="DQ989" s="10"/>
      <c r="DR989" s="10"/>
    </row>
    <row r="990" spans="1:122" ht="15.75" customHeight="1">
      <c r="A990" s="300"/>
      <c r="B990" s="300"/>
      <c r="C990" s="300"/>
      <c r="D990" s="30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97"/>
      <c r="DH990" s="197"/>
      <c r="DI990" s="197"/>
      <c r="DJ990" s="10"/>
      <c r="DK990" s="10"/>
      <c r="DL990" s="10"/>
      <c r="DM990" s="10"/>
      <c r="DN990" s="10"/>
      <c r="DO990" s="10"/>
      <c r="DP990" s="10"/>
      <c r="DQ990" s="10"/>
      <c r="DR990" s="10"/>
    </row>
    <row r="991" spans="1:122" ht="15.75" customHeight="1">
      <c r="A991" s="300"/>
      <c r="B991" s="300"/>
      <c r="C991" s="300"/>
      <c r="D991" s="30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97"/>
      <c r="DH991" s="197"/>
      <c r="DI991" s="197"/>
      <c r="DJ991" s="10"/>
      <c r="DK991" s="10"/>
      <c r="DL991" s="10"/>
      <c r="DM991" s="10"/>
      <c r="DN991" s="10"/>
      <c r="DO991" s="10"/>
      <c r="DP991" s="10"/>
      <c r="DQ991" s="10"/>
      <c r="DR991" s="10"/>
    </row>
    <row r="992" spans="1:122" ht="15.75" customHeight="1">
      <c r="A992" s="300"/>
      <c r="B992" s="300"/>
      <c r="C992" s="300"/>
      <c r="D992" s="30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97"/>
      <c r="DH992" s="197"/>
      <c r="DI992" s="197"/>
      <c r="DJ992" s="10"/>
      <c r="DK992" s="10"/>
      <c r="DL992" s="10"/>
      <c r="DM992" s="10"/>
      <c r="DN992" s="10"/>
      <c r="DO992" s="10"/>
      <c r="DP992" s="10"/>
      <c r="DQ992" s="10"/>
      <c r="DR992" s="10"/>
    </row>
    <row r="993" spans="1:122" ht="15.75" customHeight="1">
      <c r="A993" s="300"/>
      <c r="B993" s="300"/>
      <c r="C993" s="300"/>
      <c r="D993" s="30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97"/>
      <c r="DH993" s="197"/>
      <c r="DI993" s="197"/>
      <c r="DJ993" s="10"/>
      <c r="DK993" s="10"/>
      <c r="DL993" s="10"/>
      <c r="DM993" s="10"/>
      <c r="DN993" s="10"/>
      <c r="DO993" s="10"/>
      <c r="DP993" s="10"/>
      <c r="DQ993" s="10"/>
      <c r="DR993" s="10"/>
    </row>
    <row r="994" spans="1:122" ht="15.75" customHeight="1">
      <c r="A994" s="300"/>
      <c r="B994" s="300"/>
      <c r="C994" s="300"/>
      <c r="D994" s="30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97"/>
      <c r="DH994" s="197"/>
      <c r="DI994" s="197"/>
      <c r="DJ994" s="10"/>
      <c r="DK994" s="10"/>
      <c r="DL994" s="10"/>
      <c r="DM994" s="10"/>
      <c r="DN994" s="10"/>
      <c r="DO994" s="10"/>
      <c r="DP994" s="10"/>
      <c r="DQ994" s="10"/>
      <c r="DR994" s="10"/>
    </row>
    <row r="995" spans="1:122" ht="15.75" customHeight="1">
      <c r="A995" s="300"/>
      <c r="B995" s="300"/>
      <c r="C995" s="300"/>
      <c r="D995" s="30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97"/>
      <c r="DH995" s="197"/>
      <c r="DI995" s="197"/>
      <c r="DJ995" s="10"/>
      <c r="DK995" s="10"/>
      <c r="DL995" s="10"/>
      <c r="DM995" s="10"/>
      <c r="DN995" s="10"/>
      <c r="DO995" s="10"/>
      <c r="DP995" s="10"/>
      <c r="DQ995" s="10"/>
      <c r="DR995" s="10"/>
    </row>
    <row r="996" spans="1:122" ht="15.75" customHeight="1">
      <c r="A996" s="300"/>
      <c r="B996" s="300"/>
      <c r="C996" s="300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97"/>
      <c r="DH996" s="197"/>
      <c r="DI996" s="197"/>
      <c r="DJ996" s="10"/>
      <c r="DK996" s="10"/>
      <c r="DL996" s="10"/>
      <c r="DM996" s="10"/>
      <c r="DN996" s="10"/>
      <c r="DO996" s="10"/>
      <c r="DP996" s="10"/>
      <c r="DQ996" s="10"/>
      <c r="DR996" s="10"/>
    </row>
    <row r="997" spans="1:122" ht="15.75" customHeight="1">
      <c r="A997" s="300"/>
      <c r="B997" s="300"/>
      <c r="C997" s="300"/>
      <c r="D997" s="300"/>
      <c r="E997" s="300"/>
      <c r="F997" s="300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97"/>
      <c r="DH997" s="197"/>
      <c r="DI997" s="197"/>
      <c r="DJ997" s="10"/>
      <c r="DK997" s="10"/>
      <c r="DL997" s="10"/>
      <c r="DM997" s="10"/>
      <c r="DN997" s="10"/>
      <c r="DO997" s="10"/>
      <c r="DP997" s="10"/>
      <c r="DQ997" s="10"/>
      <c r="DR997" s="10"/>
    </row>
    <row r="998" spans="1:122" ht="15.75" customHeight="1">
      <c r="A998" s="300"/>
      <c r="B998" s="300"/>
      <c r="C998" s="300"/>
      <c r="D998" s="300"/>
      <c r="E998" s="300"/>
      <c r="F998" s="300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97"/>
      <c r="DH998" s="197"/>
      <c r="DI998" s="197"/>
      <c r="DJ998" s="10"/>
      <c r="DK998" s="10"/>
      <c r="DL998" s="10"/>
      <c r="DM998" s="10"/>
      <c r="DN998" s="10"/>
      <c r="DO998" s="10"/>
      <c r="DP998" s="10"/>
      <c r="DQ998" s="10"/>
      <c r="DR998" s="10"/>
    </row>
    <row r="999" spans="1:122" ht="15.75" customHeight="1">
      <c r="A999" s="300"/>
      <c r="B999" s="300"/>
      <c r="C999" s="300"/>
      <c r="D999" s="300"/>
      <c r="E999" s="300"/>
      <c r="F999" s="300"/>
      <c r="G999" s="300"/>
      <c r="H999" s="300"/>
      <c r="I999" s="300"/>
      <c r="J999" s="300"/>
      <c r="K999" s="300"/>
      <c r="L999" s="300"/>
      <c r="M999" s="300"/>
      <c r="N999" s="300"/>
      <c r="O999" s="300"/>
      <c r="P999" s="300"/>
      <c r="Q999" s="30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97"/>
      <c r="DH999" s="197"/>
      <c r="DI999" s="197"/>
      <c r="DJ999" s="10"/>
      <c r="DK999" s="10"/>
      <c r="DL999" s="10"/>
      <c r="DM999" s="10"/>
      <c r="DN999" s="10"/>
      <c r="DO999" s="10"/>
      <c r="DP999" s="10"/>
      <c r="DQ999" s="10"/>
      <c r="DR999" s="10"/>
    </row>
    <row r="1000" spans="1:122" ht="15.75" customHeight="1">
      <c r="A1000" s="300"/>
      <c r="B1000" s="300"/>
      <c r="C1000" s="300"/>
      <c r="D1000" s="300"/>
      <c r="E1000" s="300"/>
      <c r="F1000" s="300"/>
      <c r="G1000" s="300"/>
      <c r="H1000" s="300"/>
      <c r="I1000" s="300"/>
      <c r="J1000" s="300"/>
      <c r="K1000" s="300"/>
      <c r="L1000" s="300"/>
      <c r="M1000" s="300"/>
      <c r="N1000" s="300"/>
      <c r="O1000" s="300"/>
      <c r="P1000" s="300"/>
      <c r="Q1000" s="30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97"/>
      <c r="DH1000" s="197"/>
      <c r="DI1000" s="197"/>
      <c r="DJ1000" s="10"/>
      <c r="DK1000" s="10"/>
      <c r="DL1000" s="10"/>
      <c r="DM1000" s="10"/>
      <c r="DN1000" s="10"/>
      <c r="DO1000" s="10"/>
      <c r="DP1000" s="10"/>
      <c r="DQ1000" s="10"/>
      <c r="DR1000" s="10"/>
    </row>
  </sheetData>
  <mergeCells count="91">
    <mergeCell ref="DB105:DC105"/>
    <mergeCell ref="CD90:CE90"/>
    <mergeCell ref="CO50:CP50"/>
    <mergeCell ref="CI75:CJ75"/>
    <mergeCell ref="DH50:DI50"/>
    <mergeCell ref="DB75:DC75"/>
    <mergeCell ref="CR83:CT83"/>
    <mergeCell ref="CW90:CX90"/>
    <mergeCell ref="BF3:BL3"/>
    <mergeCell ref="BF4:BL4"/>
    <mergeCell ref="BK16:BL16"/>
    <mergeCell ref="BF48:BL48"/>
    <mergeCell ref="A3:G3"/>
    <mergeCell ref="AM3:AS3"/>
    <mergeCell ref="T3:Z3"/>
    <mergeCell ref="A4:G4"/>
    <mergeCell ref="Q6:R6"/>
    <mergeCell ref="AM4:AS4"/>
    <mergeCell ref="F16:G16"/>
    <mergeCell ref="K31:L31"/>
    <mergeCell ref="A39:C39"/>
    <mergeCell ref="AR16:AS16"/>
    <mergeCell ref="AW31:AX31"/>
    <mergeCell ref="T4:Z4"/>
    <mergeCell ref="CR3:CX3"/>
    <mergeCell ref="CR4:CX4"/>
    <mergeCell ref="CR48:CX48"/>
    <mergeCell ref="CW60:CX60"/>
    <mergeCell ref="BY3:CE3"/>
    <mergeCell ref="CO6:CP6"/>
    <mergeCell ref="CI31:CJ31"/>
    <mergeCell ref="BY4:CE4"/>
    <mergeCell ref="CD16:CE16"/>
    <mergeCell ref="BY39:CA39"/>
    <mergeCell ref="A143:B143"/>
    <mergeCell ref="Y90:Z90"/>
    <mergeCell ref="T130:V130"/>
    <mergeCell ref="T143:U143"/>
    <mergeCell ref="F90:G90"/>
    <mergeCell ref="A130:C130"/>
    <mergeCell ref="CR130:CT130"/>
    <mergeCell ref="CR143:CS143"/>
    <mergeCell ref="AM143:AN143"/>
    <mergeCell ref="BK90:BL90"/>
    <mergeCell ref="BF130:BH130"/>
    <mergeCell ref="BF143:BG143"/>
    <mergeCell ref="AR90:AS90"/>
    <mergeCell ref="AM130:AO130"/>
    <mergeCell ref="BY130:CA130"/>
    <mergeCell ref="BY143:BZ143"/>
    <mergeCell ref="DH6:DI6"/>
    <mergeCell ref="CW16:CX16"/>
    <mergeCell ref="DB31:DC31"/>
    <mergeCell ref="CR39:CT39"/>
    <mergeCell ref="A47:G47"/>
    <mergeCell ref="BF47:BL47"/>
    <mergeCell ref="CR47:CX47"/>
    <mergeCell ref="BP31:BQ31"/>
    <mergeCell ref="BF39:BH39"/>
    <mergeCell ref="AM39:AO39"/>
    <mergeCell ref="BV6:BW6"/>
    <mergeCell ref="AJ6:AK6"/>
    <mergeCell ref="Y16:Z16"/>
    <mergeCell ref="AD31:AE31"/>
    <mergeCell ref="T39:V39"/>
    <mergeCell ref="H17:I17"/>
    <mergeCell ref="F60:G60"/>
    <mergeCell ref="K75:L75"/>
    <mergeCell ref="A83:C83"/>
    <mergeCell ref="T47:Z47"/>
    <mergeCell ref="T48:Z48"/>
    <mergeCell ref="Y60:Z60"/>
    <mergeCell ref="A48:G48"/>
    <mergeCell ref="Q50:R50"/>
    <mergeCell ref="AD75:AE75"/>
    <mergeCell ref="T83:V83"/>
    <mergeCell ref="AM47:AS47"/>
    <mergeCell ref="AM48:AS48"/>
    <mergeCell ref="BC50:BD50"/>
    <mergeCell ref="AR60:AS60"/>
    <mergeCell ref="AW75:AX75"/>
    <mergeCell ref="AM83:AO83"/>
    <mergeCell ref="AJ50:AK50"/>
    <mergeCell ref="BV50:BW50"/>
    <mergeCell ref="BK60:BL60"/>
    <mergeCell ref="BP75:BQ75"/>
    <mergeCell ref="BF83:BH83"/>
    <mergeCell ref="BY47:CE47"/>
    <mergeCell ref="BY48:CE48"/>
    <mergeCell ref="CD60:CE60"/>
    <mergeCell ref="BY83:CA8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4"/>
  <sheetViews>
    <sheetView workbookViewId="0">
      <selection activeCell="L12" sqref="L12"/>
    </sheetView>
  </sheetViews>
  <sheetFormatPr baseColWidth="10" defaultRowHeight="15"/>
  <cols>
    <col min="1" max="1" width="18.7109375" customWidth="1"/>
    <col min="2" max="2" width="12" customWidth="1"/>
    <col min="3" max="3" width="12.140625" customWidth="1"/>
    <col min="4" max="6" width="12.7109375" customWidth="1"/>
    <col min="7" max="7" width="13" customWidth="1"/>
    <col min="8" max="8" width="13.28515625" customWidth="1"/>
    <col min="9" max="9" width="12.85546875" customWidth="1"/>
  </cols>
  <sheetData>
    <row r="3" spans="1:9">
      <c r="A3" s="159"/>
    </row>
    <row r="4" spans="1:9">
      <c r="A4" s="396" t="s">
        <v>47</v>
      </c>
      <c r="B4" s="391" t="s">
        <v>11</v>
      </c>
      <c r="C4" s="391" t="s">
        <v>10</v>
      </c>
      <c r="D4" s="391" t="s">
        <v>9</v>
      </c>
      <c r="E4" s="391" t="s">
        <v>8</v>
      </c>
      <c r="F4" s="391" t="s">
        <v>216</v>
      </c>
      <c r="G4" s="391" t="s">
        <v>194</v>
      </c>
      <c r="H4" s="391" t="s">
        <v>217</v>
      </c>
      <c r="I4" s="396" t="s">
        <v>4</v>
      </c>
    </row>
    <row r="5" spans="1:9">
      <c r="A5" s="320" t="s">
        <v>45</v>
      </c>
      <c r="B5" s="325">
        <v>1953000</v>
      </c>
      <c r="C5" s="325">
        <v>1953000</v>
      </c>
      <c r="D5" s="325">
        <v>3000000</v>
      </c>
      <c r="E5" s="325">
        <v>3000000</v>
      </c>
      <c r="F5" s="325">
        <v>3000000</v>
      </c>
      <c r="G5" s="325">
        <v>3775788</v>
      </c>
      <c r="H5" s="325">
        <v>3775788</v>
      </c>
      <c r="I5" s="325">
        <v>3775788</v>
      </c>
    </row>
    <row r="6" spans="1:9">
      <c r="A6" s="320" t="s">
        <v>44</v>
      </c>
      <c r="B6" s="325">
        <v>817500</v>
      </c>
      <c r="C6" s="325">
        <v>1507969</v>
      </c>
      <c r="D6" s="325">
        <v>1341729.6200000001</v>
      </c>
      <c r="E6" s="325">
        <v>2029579.59</v>
      </c>
      <c r="F6" s="325">
        <v>1677467.15</v>
      </c>
      <c r="G6" s="325">
        <v>2086042</v>
      </c>
      <c r="H6" s="325">
        <v>1706825.05</v>
      </c>
      <c r="I6" s="325">
        <v>2544372</v>
      </c>
    </row>
    <row r="7" spans="1:9">
      <c r="A7" s="320" t="s">
        <v>43</v>
      </c>
      <c r="B7" s="325">
        <v>122336</v>
      </c>
      <c r="C7" s="325">
        <v>164385</v>
      </c>
      <c r="D7" s="325">
        <v>105340</v>
      </c>
      <c r="E7" s="325">
        <v>164385.76999999999</v>
      </c>
      <c r="F7" s="325">
        <v>255376</v>
      </c>
      <c r="G7" s="325">
        <v>250376.61</v>
      </c>
      <c r="H7" s="325">
        <v>157373.07999999999</v>
      </c>
      <c r="I7" s="325">
        <v>226195</v>
      </c>
    </row>
    <row r="8" spans="1:9">
      <c r="A8" s="320" t="s">
        <v>42</v>
      </c>
      <c r="B8" s="325">
        <v>34000</v>
      </c>
      <c r="C8" s="325">
        <v>34000</v>
      </c>
      <c r="D8" s="325">
        <v>12300</v>
      </c>
      <c r="E8" s="325">
        <v>20000</v>
      </c>
      <c r="F8" s="325">
        <v>20000</v>
      </c>
      <c r="G8" s="325">
        <v>40000</v>
      </c>
      <c r="H8" s="325">
        <v>40000</v>
      </c>
      <c r="I8" s="325">
        <v>19000</v>
      </c>
    </row>
    <row r="9" spans="1:9">
      <c r="A9" s="320" t="s">
        <v>12</v>
      </c>
      <c r="B9" s="325">
        <v>36090</v>
      </c>
      <c r="C9" s="325">
        <v>216247</v>
      </c>
      <c r="D9" s="325">
        <v>393010</v>
      </c>
      <c r="E9" s="325">
        <v>214900</v>
      </c>
      <c r="F9" s="325">
        <v>212887</v>
      </c>
      <c r="G9" s="325">
        <v>470651</v>
      </c>
      <c r="H9" s="325">
        <v>328094</v>
      </c>
      <c r="I9" s="325">
        <v>369500</v>
      </c>
    </row>
    <row r="10" spans="1:9">
      <c r="A10" s="394" t="s">
        <v>27</v>
      </c>
      <c r="B10" s="393">
        <v>2962926</v>
      </c>
      <c r="C10" s="393">
        <v>3875601</v>
      </c>
      <c r="D10" s="393">
        <v>4852379.62</v>
      </c>
      <c r="E10" s="393">
        <v>5428865.3599999994</v>
      </c>
      <c r="F10" s="393">
        <v>5165730.1500000004</v>
      </c>
      <c r="G10" s="393">
        <v>6622857.6100000003</v>
      </c>
      <c r="H10" s="393">
        <v>5998080.1299999999</v>
      </c>
      <c r="I10" s="395">
        <f>SUM(I5:I9)</f>
        <v>6934855</v>
      </c>
    </row>
    <row r="11" spans="1:9">
      <c r="A11" s="315"/>
    </row>
    <row r="12" spans="1:9">
      <c r="A12" s="315"/>
    </row>
    <row r="13" spans="1:9">
      <c r="A13" s="396" t="s">
        <v>41</v>
      </c>
      <c r="B13" s="391" t="s">
        <v>11</v>
      </c>
      <c r="C13" s="391" t="s">
        <v>10</v>
      </c>
      <c r="D13" s="391" t="s">
        <v>9</v>
      </c>
      <c r="E13" s="391" t="s">
        <v>8</v>
      </c>
      <c r="F13" s="391" t="s">
        <v>216</v>
      </c>
      <c r="G13" s="391" t="s">
        <v>194</v>
      </c>
      <c r="H13" s="391" t="s">
        <v>217</v>
      </c>
      <c r="I13" s="396" t="s">
        <v>4</v>
      </c>
    </row>
    <row r="14" spans="1:9">
      <c r="A14" s="320" t="s">
        <v>37</v>
      </c>
      <c r="B14" s="325">
        <v>8000</v>
      </c>
      <c r="C14" s="325">
        <v>8000</v>
      </c>
      <c r="D14" s="325">
        <v>0</v>
      </c>
      <c r="E14" s="325">
        <v>0</v>
      </c>
      <c r="F14" s="325">
        <v>0</v>
      </c>
      <c r="G14" s="325">
        <v>0</v>
      </c>
      <c r="H14" s="325">
        <v>0</v>
      </c>
      <c r="I14" s="325">
        <v>0</v>
      </c>
    </row>
    <row r="15" spans="1:9">
      <c r="A15" s="320" t="s">
        <v>40</v>
      </c>
      <c r="B15" s="325">
        <v>5000</v>
      </c>
      <c r="C15" s="325">
        <v>5000</v>
      </c>
      <c r="D15" s="325">
        <v>5000</v>
      </c>
      <c r="E15" s="325">
        <v>700000</v>
      </c>
      <c r="F15" s="325">
        <v>5000</v>
      </c>
      <c r="G15" s="325">
        <v>600000</v>
      </c>
      <c r="H15" s="325">
        <v>600000</v>
      </c>
      <c r="I15" s="325">
        <v>600000</v>
      </c>
    </row>
    <row r="16" spans="1:9">
      <c r="A16" s="320" t="s">
        <v>39</v>
      </c>
      <c r="B16" s="325">
        <v>0</v>
      </c>
      <c r="C16" s="325">
        <v>0</v>
      </c>
      <c r="D16" s="325">
        <v>38900</v>
      </c>
      <c r="E16" s="325">
        <v>0</v>
      </c>
      <c r="F16" s="325">
        <v>800000</v>
      </c>
      <c r="G16" s="325">
        <v>27000</v>
      </c>
      <c r="H16" s="325">
        <v>0</v>
      </c>
      <c r="I16" s="325">
        <v>0</v>
      </c>
    </row>
    <row r="17" spans="1:9">
      <c r="A17" s="320" t="s">
        <v>46</v>
      </c>
      <c r="B17" s="325">
        <v>98975</v>
      </c>
      <c r="C17" s="325">
        <v>148700</v>
      </c>
      <c r="D17" s="325">
        <v>256850</v>
      </c>
      <c r="E17" s="325">
        <v>468000</v>
      </c>
      <c r="F17" s="325">
        <v>461666</v>
      </c>
      <c r="G17" s="325">
        <v>165750</v>
      </c>
      <c r="H17" s="325">
        <v>985063</v>
      </c>
      <c r="I17" s="325">
        <v>508223</v>
      </c>
    </row>
    <row r="18" spans="1:9">
      <c r="A18" s="320" t="s">
        <v>38</v>
      </c>
      <c r="B18" s="325">
        <v>40000</v>
      </c>
      <c r="C18" s="325">
        <v>83300</v>
      </c>
      <c r="D18" s="325">
        <v>50000</v>
      </c>
      <c r="E18" s="325">
        <v>53000</v>
      </c>
      <c r="F18" s="325">
        <v>84000</v>
      </c>
      <c r="G18" s="325">
        <v>290500</v>
      </c>
      <c r="H18" s="325">
        <v>66000</v>
      </c>
      <c r="I18" s="325">
        <v>52500</v>
      </c>
    </row>
    <row r="19" spans="1:9">
      <c r="A19" s="394" t="s">
        <v>27</v>
      </c>
      <c r="B19" s="393">
        <v>151975</v>
      </c>
      <c r="C19" s="393">
        <v>245000</v>
      </c>
      <c r="D19" s="393">
        <v>350750</v>
      </c>
      <c r="E19" s="393">
        <v>1221000</v>
      </c>
      <c r="F19" s="393">
        <v>1350666</v>
      </c>
      <c r="G19" s="393">
        <v>1083250</v>
      </c>
      <c r="H19" s="393">
        <v>1651063</v>
      </c>
      <c r="I19" s="393">
        <f>SUM(I14:I18)</f>
        <v>1160723</v>
      </c>
    </row>
    <row r="20" spans="1:9">
      <c r="A20" s="315"/>
    </row>
    <row r="21" spans="1:9">
      <c r="A21" s="396" t="s">
        <v>26</v>
      </c>
      <c r="B21" s="391" t="s">
        <v>11</v>
      </c>
      <c r="C21" s="391" t="s">
        <v>10</v>
      </c>
      <c r="D21" s="391" t="s">
        <v>9</v>
      </c>
      <c r="E21" s="391" t="s">
        <v>8</v>
      </c>
      <c r="F21" s="391" t="s">
        <v>216</v>
      </c>
      <c r="G21" s="391" t="s">
        <v>194</v>
      </c>
      <c r="H21" s="391" t="s">
        <v>217</v>
      </c>
      <c r="I21" s="396" t="s">
        <v>4</v>
      </c>
    </row>
    <row r="22" spans="1:9">
      <c r="A22" s="320" t="s">
        <v>25</v>
      </c>
      <c r="B22" s="325">
        <v>812000</v>
      </c>
      <c r="C22" s="325">
        <v>812000</v>
      </c>
      <c r="D22" s="325">
        <v>1173000</v>
      </c>
      <c r="E22" s="325">
        <v>740000</v>
      </c>
      <c r="F22" s="325">
        <v>740000</v>
      </c>
      <c r="G22" s="325">
        <v>1110000</v>
      </c>
      <c r="H22" s="325">
        <v>1000000</v>
      </c>
      <c r="I22" s="325">
        <v>910000</v>
      </c>
    </row>
    <row r="23" spans="1:9">
      <c r="A23" s="320" t="s">
        <v>193</v>
      </c>
      <c r="B23" s="325">
        <v>560000</v>
      </c>
      <c r="C23" s="325">
        <v>700000</v>
      </c>
      <c r="D23" s="325">
        <v>800000</v>
      </c>
      <c r="E23" s="325">
        <v>1000000</v>
      </c>
      <c r="F23" s="325">
        <v>1000000</v>
      </c>
      <c r="G23" s="325">
        <v>1500000</v>
      </c>
      <c r="H23" s="325">
        <v>1000000</v>
      </c>
      <c r="I23" s="325">
        <v>1000000</v>
      </c>
    </row>
    <row r="24" spans="1:9">
      <c r="A24" s="320" t="s">
        <v>12</v>
      </c>
      <c r="B24" s="325">
        <v>340000</v>
      </c>
      <c r="C24" s="325">
        <v>340000</v>
      </c>
      <c r="D24" s="325">
        <v>500000</v>
      </c>
      <c r="E24" s="325">
        <v>550000</v>
      </c>
      <c r="F24" s="325">
        <v>700000</v>
      </c>
      <c r="G24" s="325">
        <v>900000</v>
      </c>
      <c r="H24" s="325">
        <v>700000</v>
      </c>
      <c r="I24" s="325">
        <v>700000</v>
      </c>
    </row>
    <row r="25" spans="1:9">
      <c r="A25" s="320" t="s">
        <v>130</v>
      </c>
      <c r="B25" s="325">
        <v>1670000</v>
      </c>
      <c r="C25" s="325">
        <v>2160000</v>
      </c>
      <c r="D25" s="325">
        <v>2620000</v>
      </c>
      <c r="E25" s="325">
        <v>2500000</v>
      </c>
      <c r="F25" s="325">
        <v>2120000</v>
      </c>
      <c r="G25" s="325">
        <v>2120000</v>
      </c>
      <c r="H25" s="325">
        <v>2520000</v>
      </c>
      <c r="I25" s="325">
        <v>2350000</v>
      </c>
    </row>
    <row r="26" spans="1:9">
      <c r="A26" s="392" t="s">
        <v>27</v>
      </c>
      <c r="B26" s="393">
        <v>3382000</v>
      </c>
      <c r="C26" s="393">
        <v>4012000</v>
      </c>
      <c r="D26" s="393">
        <v>5093000</v>
      </c>
      <c r="E26" s="393">
        <v>4790000</v>
      </c>
      <c r="F26" s="393">
        <v>4560000</v>
      </c>
      <c r="G26" s="393">
        <v>5630000</v>
      </c>
      <c r="H26" s="393">
        <v>5220000</v>
      </c>
      <c r="I26" s="393">
        <f>SUM(I22:I25)</f>
        <v>4960000</v>
      </c>
    </row>
    <row r="27" spans="1:9">
      <c r="A27" s="315"/>
    </row>
    <row r="28" spans="1:9">
      <c r="A28" s="315"/>
    </row>
    <row r="29" spans="1:9">
      <c r="A29" s="315" t="s">
        <v>28</v>
      </c>
    </row>
    <row r="30" spans="1:9">
      <c r="A30" s="396" t="s">
        <v>36</v>
      </c>
      <c r="B30" s="391" t="s">
        <v>11</v>
      </c>
      <c r="C30" s="391" t="s">
        <v>10</v>
      </c>
      <c r="D30" s="391" t="s">
        <v>9</v>
      </c>
      <c r="E30" s="391" t="s">
        <v>8</v>
      </c>
      <c r="F30" s="391" t="s">
        <v>216</v>
      </c>
      <c r="G30" s="391" t="s">
        <v>194</v>
      </c>
      <c r="H30" s="391" t="s">
        <v>217</v>
      </c>
      <c r="I30" s="396" t="s">
        <v>4</v>
      </c>
    </row>
    <row r="31" spans="1:9">
      <c r="A31" s="320" t="s">
        <v>35</v>
      </c>
      <c r="B31" s="325">
        <v>2962926</v>
      </c>
      <c r="C31" s="325">
        <v>3875601</v>
      </c>
      <c r="D31" s="325">
        <v>4852379.62</v>
      </c>
      <c r="E31" s="325">
        <v>5428865.3599999994</v>
      </c>
      <c r="F31" s="325">
        <v>5165730.1500000004</v>
      </c>
      <c r="G31" s="325">
        <v>6622857.6100000003</v>
      </c>
      <c r="H31" s="325">
        <v>5998080.1299999999</v>
      </c>
      <c r="I31" s="325">
        <f>I10</f>
        <v>6934855</v>
      </c>
    </row>
    <row r="32" spans="1:9">
      <c r="A32" s="320" t="s">
        <v>34</v>
      </c>
      <c r="B32" s="325">
        <v>3575392</v>
      </c>
      <c r="C32" s="325">
        <v>4012000</v>
      </c>
      <c r="D32" s="325">
        <v>5093000</v>
      </c>
      <c r="E32" s="325">
        <v>4790000</v>
      </c>
      <c r="F32" s="325">
        <v>4560000</v>
      </c>
      <c r="G32" s="325">
        <v>5630000</v>
      </c>
      <c r="H32" s="325">
        <v>0</v>
      </c>
      <c r="I32" s="325">
        <v>0</v>
      </c>
    </row>
    <row r="33" spans="1:9">
      <c r="A33" s="320" t="s">
        <v>31</v>
      </c>
      <c r="B33" s="325">
        <v>151975</v>
      </c>
      <c r="C33" s="325">
        <v>245000</v>
      </c>
      <c r="D33" s="325">
        <v>350750</v>
      </c>
      <c r="E33" s="325">
        <v>1221000</v>
      </c>
      <c r="F33" s="325">
        <v>1350666</v>
      </c>
      <c r="G33" s="325">
        <v>1083250</v>
      </c>
      <c r="H33" s="325">
        <v>1651063</v>
      </c>
      <c r="I33" s="325">
        <f>I19</f>
        <v>1160723</v>
      </c>
    </row>
    <row r="34" spans="1:9">
      <c r="A34" s="394" t="s">
        <v>27</v>
      </c>
      <c r="B34" s="393">
        <v>6690293</v>
      </c>
      <c r="C34" s="393">
        <v>8132601</v>
      </c>
      <c r="D34" s="393">
        <v>10296129.620000001</v>
      </c>
      <c r="E34" s="393">
        <v>11439865.359999999</v>
      </c>
      <c r="F34" s="393">
        <v>11076396.15</v>
      </c>
      <c r="G34" s="393">
        <v>13336107.609999999</v>
      </c>
      <c r="H34" s="393">
        <f>SUM(H31:H33)</f>
        <v>7649143.1299999999</v>
      </c>
      <c r="I34" s="393">
        <f>SUM(I31:I33)</f>
        <v>8095578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DEUDAS, RECAUDADO Y PROYECTADO</vt:lpstr>
      <vt:lpstr>PERSONALES</vt:lpstr>
      <vt:lpstr>GASTOS</vt:lpstr>
      <vt:lpstr>Hoja2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PAPIROS</dc:creator>
  <cp:lastModifiedBy>USUARIO</cp:lastModifiedBy>
  <dcterms:created xsi:type="dcterms:W3CDTF">2023-01-11T13:23:56Z</dcterms:created>
  <dcterms:modified xsi:type="dcterms:W3CDTF">2026-02-28T21:09:56Z</dcterms:modified>
</cp:coreProperties>
</file>